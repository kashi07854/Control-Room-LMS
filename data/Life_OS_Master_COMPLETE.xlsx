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eod\Downloads\Life_OS_Master\"/>
    </mc:Choice>
  </mc:AlternateContent>
  <xr:revisionPtr revIDLastSave="0" documentId="13_ncr:1_{EF1933B3-21C9-4A1E-8A6A-4013C977DDC0}" xr6:coauthVersionLast="47" xr6:coauthVersionMax="47" xr10:uidLastSave="{00000000-0000-0000-0000-000000000000}"/>
  <bookViews>
    <workbookView xWindow="24" yWindow="648" windowWidth="23016" windowHeight="11232" firstSheet="51" activeTab="61" xr2:uid="{C3C772BA-7FEE-49D7-99C2-24438FAFAA69}"/>
  </bookViews>
  <sheets>
    <sheet name="Navigation" sheetId="1" r:id="rId1"/>
    <sheet name="Weekly_Dashboard" sheetId="2" r:id="rId2"/>
    <sheet name="Weekly_Schedule" sheetId="3" r:id="rId3"/>
    <sheet name="Habit_Tracker" sheetId="4" r:id="rId4"/>
    <sheet name="Task_Priorities" sheetId="5" r:id="rId5"/>
    <sheet name="Weekly_Review" sheetId="6" r:id="rId6"/>
    <sheet name="CLO_College" sheetId="7" r:id="rId7"/>
    <sheet name="Task_Mapping" sheetId="8" r:id="rId8"/>
    <sheet name="Progress_Tracker" sheetId="9" r:id="rId9"/>
    <sheet name="Time_Blocks" sheetId="10" r:id="rId10"/>
    <sheet name="Color_Legend" sheetId="11" r:id="rId11"/>
    <sheet name="Amity_College" sheetId="12" r:id="rId12"/>
    <sheet name="CKO_Knowledge" sheetId="13" r:id="rId13"/>
    <sheet name="CLO2_Language" sheetId="14" r:id="rId14"/>
    <sheet name="CTO_SkillDev" sheetId="15" r:id="rId15"/>
    <sheet name="COO_Operations" sheetId="16" r:id="rId16"/>
    <sheet name="CPO_Voice" sheetId="17" r:id="rId17"/>
    <sheet name="Weekly_Meal_Plan" sheetId="18" r:id="rId18"/>
    <sheet name="Grocery_List" sheetId="19" r:id="rId19"/>
    <sheet name="Water_Health" sheetId="20" r:id="rId20"/>
    <sheet name="Calorie_Tracker" sheetId="21" r:id="rId21"/>
    <sheet name="Meal_Prep" sheetId="22" r:id="rId22"/>
    <sheet name="Recipe_Collection" sheetId="23" r:id="rId23"/>
    <sheet name="WeightGain_MealPlan" sheetId="24" r:id="rId24"/>
    <sheet name="Calorie_Protein" sheetId="25" r:id="rId25"/>
    <sheet name="Weight_Tracker" sheetId="26" r:id="rId26"/>
    <sheet name="Supplements" sheetId="27" r:id="rId27"/>
    <sheet name="Workout_Diet" sheetId="28" r:id="rId28"/>
    <sheet name="CEO_Dashboard" sheetId="29" r:id="rId29"/>
    <sheet name="Skills_Tracker" sheetId="30" r:id="rId30"/>
    <sheet name="CEO_Daily_Schedule" sheetId="31" r:id="rId31"/>
    <sheet name="52-Week_Plan" sheetId="32" r:id="rId32"/>
    <sheet name="CEO_Books" sheetId="33" r:id="rId33"/>
    <sheet name="CEO_Journal" sheetId="34" r:id="rId34"/>
    <sheet name="CEO_Mindset" sheetId="35" r:id="rId35"/>
    <sheet name="Daily_Diary" sheetId="36" r:id="rId36"/>
    <sheet name="Weekly_Diary" sheetId="37" r:id="rId37"/>
    <sheet name="Notes" sheetId="38" r:id="rId38"/>
    <sheet name="Gratitude_Journal" sheetId="39" r:id="rId39"/>
    <sheet name="Financial_Dashboard" sheetId="40" r:id="rId40"/>
    <sheet name="Income_Tracker" sheetId="41" r:id="rId41"/>
    <sheet name="Expense_Tracker" sheetId="42" r:id="rId42"/>
    <sheet name="Loan_Manager" sheetId="43" r:id="rId43"/>
    <sheet name="Daily_Checklist" sheetId="44" r:id="rId44"/>
    <sheet name="Hatiya_Market" sheetId="45" r:id="rId45"/>
    <sheet name="Monthly_Dashboard" sheetId="46" r:id="rId46"/>
    <sheet name="Daily_Tracker" sheetId="47" r:id="rId47"/>
    <sheet name="Monthly_Goals" sheetId="48" r:id="rId48"/>
    <sheet name="Monthly_Habits" sheetId="49" r:id="rId49"/>
    <sheet name="Revision_Schedule" sheetId="50" r:id="rId50"/>
    <sheet name="Revision_Tracker" sheetId="51" r:id="rId51"/>
    <sheet name="Subject_Progress" sheetId="52" r:id="rId52"/>
    <sheet name="Techniques" sheetId="53" r:id="rId53"/>
    <sheet name="Revision_Log" sheetId="54" r:id="rId54"/>
    <sheet name="Year_Dashboard" sheetId="55" r:id="rId55"/>
    <sheet name="Yearly_Monthly_Tracker" sheetId="56" r:id="rId56"/>
    <sheet name="Yearly_Goals" sheetId="57" r:id="rId57"/>
    <sheet name="Yearly_Review" sheetId="58" r:id="rId58"/>
    <sheet name="Yearly_Habits" sheetId="59" r:id="rId59"/>
    <sheet name="Settings_All" sheetId="60" r:id="rId60"/>
    <sheet name="Planning_Sheet" sheetId="61" r:id="rId61"/>
    <sheet name="24_Hour_Plan" sheetId="62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61" l="1"/>
  <c r="D33" i="61"/>
  <c r="B33" i="61"/>
  <c r="F21" i="61"/>
  <c r="D21" i="61"/>
  <c r="B21" i="61"/>
  <c r="H2" i="61"/>
  <c r="F2" i="61"/>
  <c r="D2" i="61"/>
  <c r="B2" i="61"/>
  <c r="K16" i="51"/>
  <c r="J16" i="51"/>
  <c r="I16" i="51"/>
  <c r="K15" i="51"/>
  <c r="J15" i="51"/>
  <c r="I15" i="51"/>
  <c r="K14" i="51"/>
  <c r="J14" i="51"/>
  <c r="I14" i="51"/>
  <c r="K13" i="51"/>
  <c r="J13" i="51"/>
  <c r="I13" i="51"/>
  <c r="K12" i="51"/>
  <c r="J12" i="51"/>
  <c r="I12" i="51"/>
  <c r="K11" i="51"/>
  <c r="J11" i="51"/>
  <c r="I11" i="51"/>
  <c r="K10" i="51"/>
  <c r="J10" i="51"/>
  <c r="I10" i="51"/>
  <c r="K9" i="51"/>
  <c r="J9" i="51"/>
  <c r="I9" i="51"/>
  <c r="K8" i="51"/>
  <c r="J8" i="51"/>
  <c r="I8" i="51"/>
  <c r="K7" i="51"/>
  <c r="J7" i="51"/>
  <c r="I7" i="51"/>
  <c r="K6" i="51"/>
  <c r="J6" i="51"/>
  <c r="I6" i="51"/>
  <c r="K5" i="51"/>
  <c r="J5" i="51"/>
  <c r="I5" i="51"/>
  <c r="K4" i="51"/>
  <c r="J4" i="51"/>
  <c r="I4" i="51"/>
  <c r="AG20" i="49"/>
  <c r="AG19" i="49"/>
  <c r="AG18" i="49"/>
  <c r="AG17" i="49"/>
  <c r="AG16" i="49"/>
  <c r="AG15" i="49"/>
  <c r="AG14" i="49"/>
  <c r="AG13" i="49"/>
  <c r="AG12" i="49"/>
  <c r="AG11" i="49"/>
  <c r="AG10" i="49"/>
  <c r="AG9" i="49"/>
  <c r="AG8" i="49"/>
  <c r="AG7" i="49"/>
  <c r="AG6" i="49"/>
  <c r="AG5" i="49"/>
  <c r="AG4" i="49"/>
  <c r="G17" i="48"/>
  <c r="E17" i="48"/>
  <c r="G16" i="48"/>
  <c r="E16" i="48"/>
  <c r="G15" i="48"/>
  <c r="E15" i="48"/>
  <c r="G14" i="48"/>
  <c r="E14" i="48"/>
  <c r="G13" i="48"/>
  <c r="E13" i="48"/>
  <c r="G12" i="48"/>
  <c r="E12" i="48"/>
  <c r="G11" i="48"/>
  <c r="E11" i="48"/>
  <c r="G10" i="48"/>
  <c r="E10" i="48"/>
  <c r="G9" i="48"/>
  <c r="E9" i="48"/>
  <c r="G8" i="48"/>
  <c r="E8" i="48"/>
  <c r="G7" i="48"/>
  <c r="E7" i="48"/>
  <c r="G6" i="48"/>
  <c r="E6" i="48"/>
  <c r="G5" i="48"/>
  <c r="E5" i="48"/>
  <c r="G4" i="48"/>
  <c r="E4" i="48"/>
  <c r="O5" i="46"/>
  <c r="M5" i="46"/>
  <c r="K5" i="46"/>
  <c r="G5" i="46"/>
  <c r="I5" i="46" s="1"/>
  <c r="C5" i="46"/>
  <c r="E5" i="46" s="1"/>
  <c r="F25" i="45"/>
  <c r="I21" i="44"/>
  <c r="I20" i="44"/>
  <c r="I19" i="44"/>
  <c r="I18" i="44"/>
  <c r="I17" i="44"/>
  <c r="I16" i="44"/>
  <c r="I15" i="44"/>
  <c r="I14" i="44"/>
  <c r="I13" i="44"/>
  <c r="I12" i="44"/>
  <c r="I11" i="44"/>
  <c r="I10" i="44"/>
  <c r="I9" i="44"/>
  <c r="I8" i="44"/>
  <c r="I7" i="44"/>
  <c r="I6" i="44"/>
  <c r="I5" i="44"/>
  <c r="I4" i="44"/>
  <c r="C14" i="43"/>
  <c r="D17" i="42"/>
  <c r="D12" i="41"/>
  <c r="F15" i="32"/>
  <c r="F14" i="32"/>
  <c r="F13" i="32"/>
  <c r="F12" i="32"/>
  <c r="F11" i="32"/>
  <c r="F10" i="32"/>
  <c r="F9" i="32"/>
  <c r="F8" i="32"/>
  <c r="F7" i="32"/>
  <c r="F6" i="32"/>
  <c r="F5" i="32"/>
  <c r="F4" i="32"/>
  <c r="F3" i="32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M5" i="29"/>
  <c r="K5" i="29"/>
  <c r="I5" i="29"/>
  <c r="G5" i="29"/>
  <c r="E5" i="29"/>
  <c r="O5" i="29" s="1"/>
  <c r="D15" i="26"/>
  <c r="D14" i="26"/>
  <c r="D13" i="26"/>
  <c r="D12" i="26"/>
  <c r="D11" i="26"/>
  <c r="D10" i="26"/>
  <c r="D9" i="26"/>
  <c r="D8" i="26"/>
  <c r="D7" i="26"/>
  <c r="D6" i="26"/>
  <c r="D5" i="26"/>
  <c r="E11" i="25"/>
  <c r="D11" i="25"/>
  <c r="C11" i="25"/>
  <c r="B11" i="25"/>
  <c r="J11" i="24"/>
  <c r="H10" i="21"/>
  <c r="G10" i="21"/>
  <c r="F10" i="21"/>
  <c r="E10" i="21"/>
  <c r="D10" i="21"/>
  <c r="C10" i="21"/>
  <c r="B10" i="21"/>
  <c r="I12" i="20"/>
  <c r="I11" i="20"/>
  <c r="I10" i="20"/>
  <c r="I9" i="20"/>
  <c r="I8" i="20"/>
  <c r="I7" i="20"/>
  <c r="I6" i="20"/>
  <c r="I5" i="20"/>
  <c r="F30" i="19"/>
  <c r="I15" i="17"/>
  <c r="I14" i="17"/>
  <c r="I13" i="17"/>
  <c r="I12" i="17"/>
  <c r="I11" i="17"/>
  <c r="I10" i="17"/>
  <c r="I9" i="17"/>
  <c r="I8" i="17"/>
  <c r="I7" i="17"/>
  <c r="I6" i="17"/>
  <c r="I5" i="17"/>
  <c r="I4" i="17"/>
  <c r="I15" i="16"/>
  <c r="I14" i="16"/>
  <c r="I13" i="16"/>
  <c r="I12" i="16"/>
  <c r="I11" i="16"/>
  <c r="I10" i="16"/>
  <c r="I9" i="16"/>
  <c r="I8" i="16"/>
  <c r="I7" i="16"/>
  <c r="I6" i="16"/>
  <c r="I5" i="16"/>
  <c r="I4" i="16"/>
  <c r="I15" i="15"/>
  <c r="I14" i="15"/>
  <c r="I13" i="15"/>
  <c r="I12" i="15"/>
  <c r="I11" i="15"/>
  <c r="I10" i="15"/>
  <c r="I9" i="15"/>
  <c r="I8" i="15"/>
  <c r="I7" i="15"/>
  <c r="I6" i="15"/>
  <c r="I5" i="15"/>
  <c r="I4" i="15"/>
  <c r="I15" i="14"/>
  <c r="I14" i="14"/>
  <c r="I13" i="14"/>
  <c r="I12" i="14"/>
  <c r="I11" i="14"/>
  <c r="I10" i="14"/>
  <c r="I9" i="14"/>
  <c r="I8" i="14"/>
  <c r="I7" i="14"/>
  <c r="I6" i="14"/>
  <c r="I5" i="14"/>
  <c r="I4" i="14"/>
  <c r="I15" i="13"/>
  <c r="I14" i="13"/>
  <c r="I13" i="13"/>
  <c r="I12" i="13"/>
  <c r="I11" i="13"/>
  <c r="I10" i="13"/>
  <c r="I9" i="13"/>
  <c r="I8" i="13"/>
  <c r="I7" i="13"/>
  <c r="I6" i="13"/>
  <c r="I5" i="13"/>
  <c r="I4" i="13"/>
  <c r="I15" i="12"/>
  <c r="I14" i="12"/>
  <c r="I13" i="12"/>
  <c r="I12" i="12"/>
  <c r="I11" i="12"/>
  <c r="I10" i="12"/>
  <c r="I9" i="12"/>
  <c r="I8" i="12"/>
  <c r="I7" i="12"/>
  <c r="I6" i="12"/>
  <c r="I5" i="12"/>
  <c r="I4" i="12"/>
  <c r="I11" i="9"/>
  <c r="I10" i="9"/>
  <c r="I9" i="9"/>
  <c r="I8" i="9"/>
  <c r="I7" i="9"/>
  <c r="I6" i="9"/>
  <c r="I5" i="9"/>
  <c r="I4" i="9"/>
  <c r="I14" i="7"/>
  <c r="I13" i="7"/>
  <c r="I12" i="7"/>
  <c r="I11" i="7"/>
  <c r="I10" i="7"/>
  <c r="I9" i="7"/>
  <c r="I8" i="7"/>
  <c r="I7" i="7"/>
  <c r="I6" i="7"/>
  <c r="I5" i="7"/>
  <c r="I4" i="7"/>
  <c r="H18" i="4"/>
  <c r="G18" i="4"/>
  <c r="F18" i="4"/>
  <c r="E18" i="4"/>
  <c r="D18" i="4"/>
  <c r="C18" i="4"/>
  <c r="B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B60" i="1"/>
  <c r="G7" i="1"/>
  <c r="B4" i="1"/>
  <c r="A5" i="29" l="1"/>
  <c r="C5" i="29"/>
</calcChain>
</file>

<file path=xl/sharedStrings.xml><?xml version="1.0" encoding="utf-8"?>
<sst xmlns="http://schemas.openxmlformats.org/spreadsheetml/2006/main" count="4164" uniqueCount="1252">
  <si>
    <t>🏢  LIFE OS ENTERPRISES  —  MASTER DASHBOARD</t>
  </si>
  <si>
    <t>🔍  QUICK SEARCH  —  Jump to any sheet</t>
  </si>
  <si>
    <t>Navigation</t>
  </si>
  <si>
    <t>Weekly_Dashboard</t>
  </si>
  <si>
    <t>Weekly_Schedule</t>
  </si>
  <si>
    <t>Habit_Tracker</t>
  </si>
  <si>
    <t>Task_Priorities</t>
  </si>
  <si>
    <t>Weekly_Review</t>
  </si>
  <si>
    <t>CLO_College</t>
  </si>
  <si>
    <t>Task_Mapping</t>
  </si>
  <si>
    <t>Progress_Tracker</t>
  </si>
  <si>
    <t>Time_Blocks</t>
  </si>
  <si>
    <t>Color_Legend</t>
  </si>
  <si>
    <t>Amity_College</t>
  </si>
  <si>
    <t>CKO_Knowledge</t>
  </si>
  <si>
    <t>CLO2_Language</t>
  </si>
  <si>
    <t>CTO_SkillDev</t>
  </si>
  <si>
    <t>COO_Operations</t>
  </si>
  <si>
    <t>CPO_Voice</t>
  </si>
  <si>
    <t>Weekly_Meal_Plan</t>
  </si>
  <si>
    <t>Grocery_List</t>
  </si>
  <si>
    <t>Water_Health</t>
  </si>
  <si>
    <t>Calorie_Tracker</t>
  </si>
  <si>
    <t>Meal_Prep</t>
  </si>
  <si>
    <t>Recipe_Collection</t>
  </si>
  <si>
    <t>WeightGain_MealPlan</t>
  </si>
  <si>
    <t>Calorie_Protein</t>
  </si>
  <si>
    <t>Weight_Tracker</t>
  </si>
  <si>
    <t>Supplements</t>
  </si>
  <si>
    <t>Workout_Diet</t>
  </si>
  <si>
    <t>CEO_Dashboard</t>
  </si>
  <si>
    <t>Skills_Tracker</t>
  </si>
  <si>
    <t>CEO_Daily_Schedule</t>
  </si>
  <si>
    <t>52-Week_Plan</t>
  </si>
  <si>
    <t>CEO_Books</t>
  </si>
  <si>
    <t>CEO_Journal</t>
  </si>
  <si>
    <t>CEO_Mindset</t>
  </si>
  <si>
    <t>Daily_Diary</t>
  </si>
  <si>
    <t>Weekly_Diary</t>
  </si>
  <si>
    <t>Notes</t>
  </si>
  <si>
    <t>Gratitude_Journal</t>
  </si>
  <si>
    <t>Financial_Dashboard</t>
  </si>
  <si>
    <t>Income_Tracker</t>
  </si>
  <si>
    <t>Expense_Tracker</t>
  </si>
  <si>
    <t>Loan_Manager</t>
  </si>
  <si>
    <t>Daily_Checklist</t>
  </si>
  <si>
    <t>Hatiya_Market</t>
  </si>
  <si>
    <t>Monthly_Dashboard</t>
  </si>
  <si>
    <t>Daily_Tracker</t>
  </si>
  <si>
    <t>Monthly_Goals</t>
  </si>
  <si>
    <t>Monthly_Habits</t>
  </si>
  <si>
    <t>Revision_Schedule</t>
  </si>
  <si>
    <t>Revision_Tracker</t>
  </si>
  <si>
    <t>Subject_Progress</t>
  </si>
  <si>
    <t>Techniques</t>
  </si>
  <si>
    <t>Revision_Log</t>
  </si>
  <si>
    <t>Year_Dashboard</t>
  </si>
  <si>
    <t>Yearly_Monthly_Tracker</t>
  </si>
  <si>
    <t>Yearly_Goals</t>
  </si>
  <si>
    <t>Yearly_Review</t>
  </si>
  <si>
    <t>Yearly_Habits</t>
  </si>
  <si>
    <t>Settings_All</t>
  </si>
  <si>
    <t>📚  ALL SECTIONS  —  Click any button below</t>
  </si>
  <si>
    <t xml:space="preserve">  1. WEEKLY PLANNER</t>
  </si>
  <si>
    <t xml:space="preserve">   🎨 Weekly Dashboard</t>
  </si>
  <si>
    <t xml:space="preserve">   📅 Weekly Schedule</t>
  </si>
  <si>
    <t xml:space="preserve">   ✅ Habit Tracker</t>
  </si>
  <si>
    <t xml:space="preserve">   🎯 Task Priorities</t>
  </si>
  <si>
    <t xml:space="preserve">   📝 Weekly Review</t>
  </si>
  <si>
    <t xml:space="preserve">  2. COLLEGE &amp; LEARNING</t>
  </si>
  <si>
    <t xml:space="preserve">   🎓 CLO College</t>
  </si>
  <si>
    <t xml:space="preserve">   📋 Task Mapping</t>
  </si>
  <si>
    <t xml:space="preserve">   📊 Progress Tracker</t>
  </si>
  <si>
    <t xml:space="preserve">   ⏰ Time Blocks</t>
  </si>
  <si>
    <t xml:space="preserve">   🎨 Color Legend</t>
  </si>
  <si>
    <t xml:space="preserve">   🎓 Amity College</t>
  </si>
  <si>
    <t xml:space="preserve">   📘 CKO Knowledge</t>
  </si>
  <si>
    <t xml:space="preserve">   🌐 CLO2 Language</t>
  </si>
  <si>
    <t xml:space="preserve">   🛠️ CTO Skill Dev</t>
  </si>
  <si>
    <t xml:space="preserve">   💼 COO Operations</t>
  </si>
  <si>
    <t xml:space="preserve">   🎤 CPO Voice</t>
  </si>
  <si>
    <t xml:space="preserve">  3. FOOD &amp; NUTRITION</t>
  </si>
  <si>
    <t xml:space="preserve">   🍽️ Weekly Meal Plan</t>
  </si>
  <si>
    <t xml:space="preserve">   🛒 Grocery List</t>
  </si>
  <si>
    <t xml:space="preserve">   💧 Water &amp; Health</t>
  </si>
  <si>
    <t xml:space="preserve">   🔥 Calorie Tracker</t>
  </si>
  <si>
    <t xml:space="preserve">   👨‍🍳 Meal Prep</t>
  </si>
  <si>
    <t xml:space="preserve">   📖 Recipe Collection</t>
  </si>
  <si>
    <t xml:space="preserve">  4. WEIGHT GAIN DIET</t>
  </si>
  <si>
    <t xml:space="preserve">   💪 Weight Gain Meals</t>
  </si>
  <si>
    <t xml:space="preserve">   📊 Calorie &amp; Protein</t>
  </si>
  <si>
    <t xml:space="preserve">   ⚖️ Weight Tracker</t>
  </si>
  <si>
    <t xml:space="preserve">   🥤 Supplements</t>
  </si>
  <si>
    <t xml:space="preserve">   🏋️ Workout Diet</t>
  </si>
  <si>
    <t xml:space="preserve">  5. CEO MASTER</t>
  </si>
  <si>
    <t xml:space="preserve">   👑 CEO Dashboard</t>
  </si>
  <si>
    <t xml:space="preserve">   🎯 Skills Tracker</t>
  </si>
  <si>
    <t xml:space="preserve">   ⏰ Daily Schedule</t>
  </si>
  <si>
    <t xml:space="preserve">   📅 52-Week Plan</t>
  </si>
  <si>
    <t xml:space="preserve">   📚 CEO Books</t>
  </si>
  <si>
    <t xml:space="preserve">   📝 CEO Journal</t>
  </si>
  <si>
    <t xml:space="preserve">   🧠 CEO Mindset</t>
  </si>
  <si>
    <t xml:space="preserve">  6. DIARY</t>
  </si>
  <si>
    <t xml:space="preserve">   📔 Daily Diary</t>
  </si>
  <si>
    <t xml:space="preserve">   📅 Weekly Diary</t>
  </si>
  <si>
    <t xml:space="preserve">   📝 Notes</t>
  </si>
  <si>
    <t xml:space="preserve">   🙏 Gratitude Journal</t>
  </si>
  <si>
    <t xml:space="preserve">  7. FINANCIAL</t>
  </si>
  <si>
    <t xml:space="preserve">   💰 Financial Dashboard</t>
  </si>
  <si>
    <t xml:space="preserve">   💵 Income Tracker</t>
  </si>
  <si>
    <t xml:space="preserve">   💳 Expense Tracker</t>
  </si>
  <si>
    <t xml:space="preserve">   🏦 Loan Manager</t>
  </si>
  <si>
    <t xml:space="preserve">   ✅ Daily Checklist</t>
  </si>
  <si>
    <t xml:space="preserve">   🏪 Hatiya Market</t>
  </si>
  <si>
    <t xml:space="preserve">  8. MONTHLY SYSTEM</t>
  </si>
  <si>
    <t xml:space="preserve">   📊 Monthly Dashboard</t>
  </si>
  <si>
    <t xml:space="preserve">   📅 Daily Tracker</t>
  </si>
  <si>
    <t xml:space="preserve">   🎯 Monthly Goals</t>
  </si>
  <si>
    <t xml:space="preserve">   🔥 Monthly Habits</t>
  </si>
  <si>
    <t xml:space="preserve">  9. REVISION SYSTEM</t>
  </si>
  <si>
    <t xml:space="preserve">   📚 Revision Schedule</t>
  </si>
  <si>
    <t xml:space="preserve">   ✅ Revision Tracker</t>
  </si>
  <si>
    <t xml:space="preserve">   📊 Subject Progress</t>
  </si>
  <si>
    <t xml:space="preserve">   🧠 Techniques</t>
  </si>
  <si>
    <t xml:space="preserve">   📝 Revision Log</t>
  </si>
  <si>
    <t xml:space="preserve">  10. YEARLY SYSTEM</t>
  </si>
  <si>
    <t xml:space="preserve">   📅 Year Dashboard</t>
  </si>
  <si>
    <t xml:space="preserve">   📆 Monthly Tracker</t>
  </si>
  <si>
    <t xml:space="preserve">   🎯 Yearly Goals</t>
  </si>
  <si>
    <t xml:space="preserve">   🌟 Yearly Review</t>
  </si>
  <si>
    <t xml:space="preserve">   🔥 Yearly Habits</t>
  </si>
  <si>
    <t xml:space="preserve">  11. SETTINGS</t>
  </si>
  <si>
    <t xml:space="preserve">   ⚙</t>
  </si>
  <si>
    <t xml:space="preserve">   S</t>
  </si>
  <si>
    <t>←</t>
  </si>
  <si>
    <t>📊 WEEKLY OVERVIEW</t>
  </si>
  <si>
    <t>📋 Total Tasks</t>
  </si>
  <si>
    <t>✅ Completed</t>
  </si>
  <si>
    <t>📊 Progress</t>
  </si>
  <si>
    <t>🎯 Habits Done</t>
  </si>
  <si>
    <t>0/98</t>
  </si>
  <si>
    <t>📅 WEEKLY SCHEDULE — 30 MIN INTERVALS</t>
  </si>
  <si>
    <t>TIME</t>
  </si>
  <si>
    <t>MON</t>
  </si>
  <si>
    <t>TUE</t>
  </si>
  <si>
    <t>WED</t>
  </si>
  <si>
    <t>THU</t>
  </si>
  <si>
    <t>FRI</t>
  </si>
  <si>
    <t>SAT</t>
  </si>
  <si>
    <t>SUN</t>
  </si>
  <si>
    <t>NOTES</t>
  </si>
  <si>
    <t>TOPIC</t>
  </si>
  <si>
    <t>FOLDER</t>
  </si>
  <si>
    <t>✓</t>
  </si>
  <si>
    <t>🌅 Wake</t>
  </si>
  <si>
    <t>☐</t>
  </si>
  <si>
    <t>🎤 Voice</t>
  </si>
  <si>
    <t>💪 Exercise</t>
  </si>
  <si>
    <t>📘 Knowledge</t>
  </si>
  <si>
    <t>🍳 Breakfast</t>
  </si>
  <si>
    <t>🌐 Language</t>
  </si>
  <si>
    <t>☕ Break</t>
  </si>
  <si>
    <t>🎓 College 1</t>
  </si>
  <si>
    <t>⚡ Deep Work</t>
  </si>
  <si>
    <t>🍽️ Lunch</t>
  </si>
  <si>
    <t>🔄 Revision</t>
  </si>
  <si>
    <t>🎓 College 2</t>
  </si>
  <si>
    <t>🛠️ Skill Dev</t>
  </si>
  <si>
    <t>💼 Office</t>
  </si>
  <si>
    <t>🚶 Walk</t>
  </si>
  <si>
    <t>🍽️ Dinner</t>
  </si>
  <si>
    <t>🎓 College 3</t>
  </si>
  <si>
    <t>🛠️ Project</t>
  </si>
  <si>
    <t>📝 Journal</t>
  </si>
  <si>
    <t>📊 Review</t>
  </si>
  <si>
    <t>📚 Read</t>
  </si>
  <si>
    <t>🛏️ Sleep</t>
  </si>
  <si>
    <t>💡 Click cell → dropdown → Select ✅ or ☐</t>
  </si>
  <si>
    <t>HABIT</t>
  </si>
  <si>
    <t>DONE</t>
  </si>
  <si>
    <t>%</t>
  </si>
  <si>
    <t>STATUS</t>
  </si>
  <si>
    <t>🌅 Wake at 6 AM</t>
  </si>
  <si>
    <t>🎤 Voice Exercise</t>
  </si>
  <si>
    <t>💪 Exercise 30 min</t>
  </si>
  <si>
    <t>📘 Knowledge 1 hr</t>
  </si>
  <si>
    <t>🌐 Language 1 hr</t>
  </si>
  <si>
    <t>🎓 College Study</t>
  </si>
  <si>
    <t>🛠️ Skill Practice</t>
  </si>
  <si>
    <t>💼 Office Work</t>
  </si>
  <si>
    <t>💧 8 Glasses Water</t>
  </si>
  <si>
    <t>📝 Journal Writing</t>
  </si>
  <si>
    <t>📚 Read 30 min</t>
  </si>
  <si>
    <t>🧘 Meditation</t>
  </si>
  <si>
    <t>😴 Sleep by 10 PM</t>
  </si>
  <si>
    <t>📵 No Phone after 9</t>
  </si>
  <si>
    <t>📊 DAILY TOTAL</t>
  </si>
  <si>
    <t>🔴 HIGH PRIORITY</t>
  </si>
  <si>
    <t>🟡 MEDIUM PRIORITY</t>
  </si>
  <si>
    <t>🟢 LOW PRIORITY</t>
  </si>
  <si>
    <t xml:space="preserve">☐ Task 1: </t>
  </si>
  <si>
    <t xml:space="preserve">☐ Task 2: </t>
  </si>
  <si>
    <t xml:space="preserve">☐ Task 3: </t>
  </si>
  <si>
    <t xml:space="preserve">☐ Task 4: </t>
  </si>
  <si>
    <t xml:space="preserve">☐ Task 5: </t>
  </si>
  <si>
    <t xml:space="preserve">☐ Task 6: </t>
  </si>
  <si>
    <t xml:space="preserve">☐ Task 7: </t>
  </si>
  <si>
    <t xml:space="preserve">☐ Task 8: </t>
  </si>
  <si>
    <t xml:space="preserve">☐ Task 9: </t>
  </si>
  <si>
    <t xml:space="preserve">☐ Task 10: </t>
  </si>
  <si>
    <t xml:space="preserve">☐ Task 11: </t>
  </si>
  <si>
    <t xml:space="preserve">☐ Task 12: </t>
  </si>
  <si>
    <t xml:space="preserve">☐ Task 13: </t>
  </si>
  <si>
    <t xml:space="preserve">☐ Task 14: </t>
  </si>
  <si>
    <t xml:space="preserve">☐ Task 15: </t>
  </si>
  <si>
    <t>🏆 What went well this week?</t>
  </si>
  <si>
    <t>📚 What did I learn?</t>
  </si>
  <si>
    <t>⚠️ What challenges did I face?</t>
  </si>
  <si>
    <t>💡 What could be improved?</t>
  </si>
  <si>
    <t>🙏 What am I grateful for?</t>
  </si>
  <si>
    <t>🎯 Top 3 priorities for next week?</t>
  </si>
  <si>
    <t>📊 Overall week rating (1-10):</t>
  </si>
  <si>
    <t>🌟 Biggest win of the week:</t>
  </si>
  <si>
    <t>💪 What will I do differently?</t>
  </si>
  <si>
    <t>📅 Key dates next week:</t>
  </si>
  <si>
    <t>SUBJECT</t>
  </si>
  <si>
    <t>1. Business Statistics</t>
  </si>
  <si>
    <t>2. Business Communication</t>
  </si>
  <si>
    <t>3. Management Foundation</t>
  </si>
  <si>
    <t>4. Accounting Fundamentals</t>
  </si>
  <si>
    <t>5. Principles of Marketing</t>
  </si>
  <si>
    <t>8. Live Class – Business Comm</t>
  </si>
  <si>
    <t>7. Free Certificate Course</t>
  </si>
  <si>
    <t>6. Student Dev Programme</t>
  </si>
  <si>
    <t>9. Business Plan Trailblazers</t>
  </si>
  <si>
    <t>Study_track Update</t>
  </si>
  <si>
    <t>📊 AVERAGE</t>
  </si>
  <si>
    <t>🎓 COLLEGE — WEEKLY SUBJECT PLAN</t>
  </si>
  <si>
    <t>Mon</t>
  </si>
  <si>
    <t>Business Statistics</t>
  </si>
  <si>
    <t>Chapter + Problems</t>
  </si>
  <si>
    <t>Accounting Fundamentals</t>
  </si>
  <si>
    <t>Practice entries</t>
  </si>
  <si>
    <t>Management Foundation</t>
  </si>
  <si>
    <t>Case study</t>
  </si>
  <si>
    <t>Tue</t>
  </si>
  <si>
    <t>Business Communication</t>
  </si>
  <si>
    <t>Writing practice</t>
  </si>
  <si>
    <t>Principles of Marketing</t>
  </si>
  <si>
    <t>Concepts + Examples</t>
  </si>
  <si>
    <t>Revision</t>
  </si>
  <si>
    <t>Wed</t>
  </si>
  <si>
    <t>Balance sheet</t>
  </si>
  <si>
    <t>Data analysis</t>
  </si>
  <si>
    <t>Speaking practice</t>
  </si>
  <si>
    <t>Thu</t>
  </si>
  <si>
    <t>Theories</t>
  </si>
  <si>
    <t>Report writing</t>
  </si>
  <si>
    <t>Final accounts</t>
  </si>
  <si>
    <t>Fri</t>
  </si>
  <si>
    <t>MCQs</t>
  </si>
  <si>
    <t>Sat</t>
  </si>
  <si>
    <t>Business Plan Trailblazers</t>
  </si>
  <si>
    <t>Project work</t>
  </si>
  <si>
    <t>Free Certificate Course</t>
  </si>
  <si>
    <t>Module completion</t>
  </si>
  <si>
    <t>Student Dev Programme</t>
  </si>
  <si>
    <t>Activity</t>
  </si>
  <si>
    <t>TASK</t>
  </si>
  <si>
    <t>⚡ Advance Block</t>
  </si>
  <si>
    <t>📝 Notes</t>
  </si>
  <si>
    <t>BLOCK</t>
  </si>
  <si>
    <t>START TIME</t>
  </si>
  <si>
    <t>END TIME</t>
  </si>
  <si>
    <t>DURATION</t>
  </si>
  <si>
    <t>FOCUS</t>
  </si>
  <si>
    <t>Morning Routine</t>
  </si>
  <si>
    <t>1 hr</t>
  </si>
  <si>
    <t>Wake + Exercise</t>
  </si>
  <si>
    <t>Knowledge Block 1</t>
  </si>
  <si>
    <t>📘 01_knowledge</t>
  </si>
  <si>
    <t>Breakfast</t>
  </si>
  <si>
    <t>30 min</t>
  </si>
  <si>
    <t>—</t>
  </si>
  <si>
    <t>Language Block 1</t>
  </si>
  <si>
    <t>🌐 02_languages</t>
  </si>
  <si>
    <t>Break</t>
  </si>
  <si>
    <t>🎓 College Block 1</t>
  </si>
  <si>
    <t>1.5 hr</t>
  </si>
  <si>
    <t>College Subjects</t>
  </si>
  <si>
    <t>Advance Block</t>
  </si>
  <si>
    <t>Lunch</t>
  </si>
  <si>
    <t>Rest</t>
  </si>
  <si>
    <t>🔄 All</t>
  </si>
  <si>
    <t>🎓 College Block 2</t>
  </si>
  <si>
    <t>Skill Dev Block 2</t>
  </si>
  <si>
    <t>🛠️ 04_skill_dev</t>
  </si>
  <si>
    <t>office work/</t>
  </si>
  <si>
    <t>Walk</t>
  </si>
  <si>
    <t>Dinner</t>
  </si>
  <si>
    <t>🎓 College Block 3</t>
  </si>
  <si>
    <t>Advance Project</t>
  </si>
  <si>
    <t>⚡ Project</t>
  </si>
  <si>
    <t>📝</t>
  </si>
  <si>
    <t>Review</t>
  </si>
  <si>
    <t>📊</t>
  </si>
  <si>
    <t>Sleep</t>
  </si>
  <si>
    <t>8 hr</t>
  </si>
  <si>
    <t>🛏️</t>
  </si>
  <si>
    <t>COLOR</t>
  </si>
  <si>
    <t>FOLDER / FOCUS</t>
  </si>
  <si>
    <t>🟫 Brown</t>
  </si>
  <si>
    <t>🎓 College</t>
  </si>
  <si>
    <t>College/University Subjects</t>
  </si>
  <si>
    <t>🟦 Blue</t>
  </si>
  <si>
    <t>01_knowledge/</t>
  </si>
  <si>
    <t>🟩 Green</t>
  </si>
  <si>
    <t>02_languages/</t>
  </si>
  <si>
    <t>🟧 Orange</t>
  </si>
  <si>
    <t>04_skill_dev/</t>
  </si>
  <si>
    <t>🟪 Purple</t>
  </si>
  <si>
    <t>Deep Work / Project</t>
  </si>
  <si>
    <t>🟨 Yellow</t>
  </si>
  <si>
    <t>⬜ Grey</t>
  </si>
  <si>
    <t>☕ Break / Rest</t>
  </si>
  <si>
    <t>Recovery</t>
  </si>
  <si>
    <t>All folders</t>
  </si>
  <si>
    <t>📚 Books</t>
  </si>
  <si>
    <t>📰 Articles</t>
  </si>
  <si>
    <t>🤖 AI Prompts</t>
  </si>
  <si>
    <t>🎥 Videos</t>
  </si>
  <si>
    <t>LANGUAGE</t>
  </si>
  <si>
    <t>🇬🇧 English Advanced</t>
  </si>
  <si>
    <t>🇯🇵 Japanese</t>
  </si>
  <si>
    <t>🇪🇸 Spanish</t>
  </si>
  <si>
    <t>🇫🇷 French</t>
  </si>
  <si>
    <t>🇩🇪 German</t>
  </si>
  <si>
    <t>🇰🇷 Korean</t>
  </si>
  <si>
    <t>🇨🇳 Mandarin</t>
  </si>
  <si>
    <t>SKILL</t>
  </si>
  <si>
    <t>📊 Excel</t>
  </si>
  <si>
    <t>🗄️ SQL</t>
  </si>
  <si>
    <t>🐍 Python</t>
  </si>
  <si>
    <t>📈 Power BI</t>
  </si>
  <si>
    <t>🧮 DSA</t>
  </si>
  <si>
    <t>🤖 AI &amp; Automation</t>
  </si>
  <si>
    <t>💻 Tech</t>
  </si>
  <si>
    <t>🎬 Creative</t>
  </si>
  <si>
    <t>📋 Office Tasks</t>
  </si>
  <si>
    <t>📊 Reports</t>
  </si>
  <si>
    <t>📁 File Mgmt</t>
  </si>
  <si>
    <t>📧 Emails</t>
  </si>
  <si>
    <t>📞 Meetings</t>
  </si>
  <si>
    <t>🎬 YouTube</t>
  </si>
  <si>
    <t>🛒 Grocery</t>
  </si>
  <si>
    <t>PRACTICE</t>
  </si>
  <si>
    <t>🎤 Voice Warm-up</t>
  </si>
  <si>
    <t>🗣️ Mirror Talk</t>
  </si>
  <si>
    <t>📹 Record Speech</t>
  </si>
  <si>
    <t>📚 Read Aloud</t>
  </si>
  <si>
    <t>💬 Talk to Stranger</t>
  </si>
  <si>
    <t>💪 Fear Challenge</t>
  </si>
  <si>
    <t xml:space="preserve">  ✓  Sheet created — Full content added via separate script</t>
  </si>
  <si>
    <t>MEAL</t>
  </si>
  <si>
    <t>MON 6</t>
  </si>
  <si>
    <t>TUE 7</t>
  </si>
  <si>
    <t>WED 8</t>
  </si>
  <si>
    <t>THU 9</t>
  </si>
  <si>
    <t>FRI 10</t>
  </si>
  <si>
    <t>SAT 11</t>
  </si>
  <si>
    <t>SUN 5</t>
  </si>
  <si>
    <t>🍳 Breakfast (7:30 AM)</t>
  </si>
  <si>
    <t>Oats + Milk</t>
  </si>
  <si>
    <t>Poha</t>
  </si>
  <si>
    <t>Upma</t>
  </si>
  <si>
    <t>Paratha</t>
  </si>
  <si>
    <t>Idli + Sambar</t>
  </si>
  <si>
    <t>Dosa</t>
  </si>
  <si>
    <t>Puri + Sabzi</t>
  </si>
  <si>
    <t>🍎 Mid-Morning (10:30)</t>
  </si>
  <si>
    <t>Fruit Bowl</t>
  </si>
  <si>
    <t>Banana + Nuts</t>
  </si>
  <si>
    <t>Apple</t>
  </si>
  <si>
    <t>Orange</t>
  </si>
  <si>
    <t>Papaya</t>
  </si>
  <si>
    <t>Watermelon</t>
  </si>
  <si>
    <t>Guava</t>
  </si>
  <si>
    <t>🍱 Lunch (1:00 PM)</t>
  </si>
  <si>
    <t>Dal + Rice</t>
  </si>
  <si>
    <t>Roti + Sabzi</t>
  </si>
  <si>
    <t>Rajma + Rice</t>
  </si>
  <si>
    <t>Chole + Roti</t>
  </si>
  <si>
    <t>Kadhi + Rice</t>
  </si>
  <si>
    <t>Biryani</t>
  </si>
  <si>
    <t>Pulao</t>
  </si>
  <si>
    <t>🥗 Evening Snack (4:30)</t>
  </si>
  <si>
    <t>Sprouts</t>
  </si>
  <si>
    <t>Samosa</t>
  </si>
  <si>
    <t>Sandwich</t>
  </si>
  <si>
    <t>Pakoda</t>
  </si>
  <si>
    <t>Bhel Puri</t>
  </si>
  <si>
    <t>Dhokla</t>
  </si>
  <si>
    <t>Vada</t>
  </si>
  <si>
    <t>🍽️ Dinner (8:00 PM)</t>
  </si>
  <si>
    <t>Roti + Paneer</t>
  </si>
  <si>
    <t>Khichdi</t>
  </si>
  <si>
    <t>Roti + Dal</t>
  </si>
  <si>
    <t>Fried Rice</t>
  </si>
  <si>
    <t>Noodles</t>
  </si>
  <si>
    <t>Pizza</t>
  </si>
  <si>
    <t>Pasta</t>
  </si>
  <si>
    <t>🥛 Bedtime (9:30 PM)</t>
  </si>
  <si>
    <t>Warm Milk</t>
  </si>
  <si>
    <t>Turmeric Milk</t>
  </si>
  <si>
    <t>ITEM</t>
  </si>
  <si>
    <t>CATEGORY</t>
  </si>
  <si>
    <t>QTY</t>
  </si>
  <si>
    <t>PRICE</t>
  </si>
  <si>
    <t>TOTAL</t>
  </si>
  <si>
    <t>Rice</t>
  </si>
  <si>
    <t>Grains</t>
  </si>
  <si>
    <t>5 kg</t>
  </si>
  <si>
    <t>Wheat Flour</t>
  </si>
  <si>
    <t>Dal (Toor)</t>
  </si>
  <si>
    <t>Pulses</t>
  </si>
  <si>
    <t>2 kg</t>
  </si>
  <si>
    <t>Dal (Moong)</t>
  </si>
  <si>
    <t>1 kg</t>
  </si>
  <si>
    <t>Rajma</t>
  </si>
  <si>
    <t>Chole</t>
  </si>
  <si>
    <t>Milk</t>
  </si>
  <si>
    <t>Dairy</t>
  </si>
  <si>
    <t>5 L</t>
  </si>
  <si>
    <t>Curd</t>
  </si>
  <si>
    <t>Paneer</t>
  </si>
  <si>
    <t>500 g</t>
  </si>
  <si>
    <t>Ghee</t>
  </si>
  <si>
    <t>Tomato</t>
  </si>
  <si>
    <t>Vegetables</t>
  </si>
  <si>
    <t>Onion</t>
  </si>
  <si>
    <t>3 kg</t>
  </si>
  <si>
    <t>Potato</t>
  </si>
  <si>
    <t>Cauliflower</t>
  </si>
  <si>
    <t>1 pc</t>
  </si>
  <si>
    <t>Spinach</t>
  </si>
  <si>
    <t>Carrot</t>
  </si>
  <si>
    <t>Banana</t>
  </si>
  <si>
    <t>Fruits</t>
  </si>
  <si>
    <t>1 dozen</t>
  </si>
  <si>
    <t>Bread</t>
  </si>
  <si>
    <t>Bakery</t>
  </si>
  <si>
    <t>1 pack</t>
  </si>
  <si>
    <t>Eggs</t>
  </si>
  <si>
    <t>Protein</t>
  </si>
  <si>
    <t>Oil</t>
  </si>
  <si>
    <t>Cooking</t>
  </si>
  <si>
    <t>1 L</t>
  </si>
  <si>
    <t>Salt</t>
  </si>
  <si>
    <t>Spices</t>
  </si>
  <si>
    <t>Sugar</t>
  </si>
  <si>
    <t>Tea Powder</t>
  </si>
  <si>
    <t>Beverages</t>
  </si>
  <si>
    <t>Coffee</t>
  </si>
  <si>
    <t>200 g</t>
  </si>
  <si>
    <t>💧 WATER INTAKE (Target: 8 glasses/day)</t>
  </si>
  <si>
    <t>🍎 Mid-Morning</t>
  </si>
  <si>
    <t>🍱 Lunch</t>
  </si>
  <si>
    <t>🥗 Evening Snack</t>
  </si>
  <si>
    <t>🥛 Bedtime</t>
  </si>
  <si>
    <t>DAY</t>
  </si>
  <si>
    <t>PREP TIME</t>
  </si>
  <si>
    <t>DISH</t>
  </si>
  <si>
    <t>Sunday</t>
  </si>
  <si>
    <t>Soak Dal &amp; Rice</t>
  </si>
  <si>
    <t>Monday Lunch</t>
  </si>
  <si>
    <t>Soak overnight</t>
  </si>
  <si>
    <t>Chop Vegetables</t>
  </si>
  <si>
    <t>Mon-Wed</t>
  </si>
  <si>
    <t>Store in fridge</t>
  </si>
  <si>
    <t>Monday</t>
  </si>
  <si>
    <t>Boil Eggs</t>
  </si>
  <si>
    <t>6 eggs</t>
  </si>
  <si>
    <t>Prepare Masala</t>
  </si>
  <si>
    <t>Tue-Fri</t>
  </si>
  <si>
    <t>Ginger-garlic paste</t>
  </si>
  <si>
    <t>Tuesday</t>
  </si>
  <si>
    <t>Make Curd</t>
  </si>
  <si>
    <t>Wed-Sun</t>
  </si>
  <si>
    <t>From 1L milk</t>
  </si>
  <si>
    <t>Wednesday</t>
  </si>
  <si>
    <t>Knead Dough</t>
  </si>
  <si>
    <t>Thursday Roti</t>
  </si>
  <si>
    <t>Thursday</t>
  </si>
  <si>
    <t>Cut Fruits</t>
  </si>
  <si>
    <t>Fri-Sat</t>
  </si>
  <si>
    <t>Store in box</t>
  </si>
  <si>
    <t>Friday</t>
  </si>
  <si>
    <t>Prep Paneer</t>
  </si>
  <si>
    <t>Saturday</t>
  </si>
  <si>
    <t>Marinate</t>
  </si>
  <si>
    <t>Grocery Shopping</t>
  </si>
  <si>
    <t>Next Week</t>
  </si>
  <si>
    <t>As per list</t>
  </si>
  <si>
    <t>Clean Kitchen</t>
  </si>
  <si>
    <t>Weekly</t>
  </si>
  <si>
    <t>Deep clean</t>
  </si>
  <si>
    <t>#</t>
  </si>
  <si>
    <t>RECIPE NAME</t>
  </si>
  <si>
    <t>TYPE</t>
  </si>
  <si>
    <t>🥣 Oats with Milk &amp; Nuts</t>
  </si>
  <si>
    <t>10 min</t>
  </si>
  <si>
    <t>✅</t>
  </si>
  <si>
    <t>🍚 Poha with Peanuts</t>
  </si>
  <si>
    <t>15 min</t>
  </si>
  <si>
    <t>🥘 Upma with Veggies</t>
  </si>
  <si>
    <t>20 min</t>
  </si>
  <si>
    <t>🫓 Aloo Paratha</t>
  </si>
  <si>
    <t>🍚 Dal Tadka + Rice</t>
  </si>
  <si>
    <t>🫘 Rajma Chawal</t>
  </si>
  <si>
    <t>45 min</t>
  </si>
  <si>
    <t>🥘 Chole Bhature</t>
  </si>
  <si>
    <t>40 min</t>
  </si>
  <si>
    <t>🍚 Veg Biryani</t>
  </si>
  <si>
    <t>50 min</t>
  </si>
  <si>
    <t>🧀 Paneer Butter Masala</t>
  </si>
  <si>
    <t>🍲 Vegetable Khichdi</t>
  </si>
  <si>
    <t>25 min</t>
  </si>
  <si>
    <t>🍜 Hakka Noodles</t>
  </si>
  <si>
    <t>🍕 Homemade Pizza</t>
  </si>
  <si>
    <t>⏳</t>
  </si>
  <si>
    <t>🥗 Sprouts Salad</t>
  </si>
  <si>
    <t>Snack</t>
  </si>
  <si>
    <t>🥪 Veg Sandwich</t>
  </si>
  <si>
    <t>🍵 Masala Chai</t>
  </si>
  <si>
    <t>Beverage</t>
  </si>
  <si>
    <t>🥭 Mango Lassi</t>
  </si>
  <si>
    <t>🍰 Eggless Cake</t>
  </si>
  <si>
    <t>Dessert</t>
  </si>
  <si>
    <t>60 min</t>
  </si>
  <si>
    <t>🍮 Gulab Jamun</t>
  </si>
  <si>
    <t>CAL</t>
  </si>
  <si>
    <t>🌅 Pre-Workout</t>
  </si>
  <si>
    <t>Banana + PB</t>
  </si>
  <si>
    <t>Banana Shake</t>
  </si>
  <si>
    <t>Oats + Honey</t>
  </si>
  <si>
    <t>Banana + Dates</t>
  </si>
  <si>
    <t>Fruit Salad</t>
  </si>
  <si>
    <t>Mango Shake</t>
  </si>
  <si>
    <t>4 Eggs + Paratha</t>
  </si>
  <si>
    <t>Poha + Curd</t>
  </si>
  <si>
    <t>Upma + Eggs</t>
  </si>
  <si>
    <t>4 Eggs + Toast</t>
  </si>
  <si>
    <t>Dosa + Egg</t>
  </si>
  <si>
    <t>Dry Fruits + Milk</t>
  </si>
  <si>
    <t>Peanut Chikki</t>
  </si>
  <si>
    <t>Almonds + Dates</t>
  </si>
  <si>
    <t>Fruit + Yogurt</t>
  </si>
  <si>
    <t>Banana + Honey</t>
  </si>
  <si>
    <t>Dal + Rice + Paneer</t>
  </si>
  <si>
    <t>Chicken Curry</t>
  </si>
  <si>
    <t>Chole + Rice</t>
  </si>
  <si>
    <t>Biryani + Raita</t>
  </si>
  <si>
    <t>Pulao + Paneer</t>
  </si>
  <si>
    <t>🥤 Post-Workout</t>
  </si>
  <si>
    <t>Whey Protein</t>
  </si>
  <si>
    <t>Egg Shake</t>
  </si>
  <si>
    <t>PB Shake</t>
  </si>
  <si>
    <t>Whey + Banana</t>
  </si>
  <si>
    <t>Mass Gainer</t>
  </si>
  <si>
    <t>Protein Smoothie</t>
  </si>
  <si>
    <t>Milk + Dates</t>
  </si>
  <si>
    <t>Khichdi + Ghee</t>
  </si>
  <si>
    <t>Roti + Chicken</t>
  </si>
  <si>
    <t>Fried Rice + Egg</t>
  </si>
  <si>
    <t>Noodles + Paneer</t>
  </si>
  <si>
    <t>Pizza + Milk</t>
  </si>
  <si>
    <t>Pasta + Cheese</t>
  </si>
  <si>
    <t>Warm Milk + Ghee</t>
  </si>
  <si>
    <t>Warm Milk + Honey</t>
  </si>
  <si>
    <t>Milk + Almonds</t>
  </si>
  <si>
    <t>PROTEIN (g)</t>
  </si>
  <si>
    <t>CARBS (g)</t>
  </si>
  <si>
    <t>FAT (g)</t>
  </si>
  <si>
    <t>📊 TOTAL</t>
  </si>
  <si>
    <t>WEEK</t>
  </si>
  <si>
    <t>DATE</t>
  </si>
  <si>
    <t>WEIGHT (kg)</t>
  </si>
  <si>
    <t>CHANGE (kg)</t>
  </si>
  <si>
    <t>CHEST (in)</t>
  </si>
  <si>
    <t>WAIST (in)</t>
  </si>
  <si>
    <t>Week 1</t>
  </si>
  <si>
    <t>-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</si>
  <si>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</si>
  <si>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</si>
  <si>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</si>
  <si>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</si>
  <si>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</si>
  <si>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</si>
  <si>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</si>
  <si>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</si>
  <si>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</si>
  <si>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</si>
  <si>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</si>
  <si>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SUPPLEMENT</t>
  </si>
  <si>
    <t>DOSE</t>
  </si>
  <si>
    <t>PURPOSE</t>
  </si>
  <si>
    <t>💪 Whey Protein</t>
  </si>
  <si>
    <t>1 scoop</t>
  </si>
  <si>
    <t>Post-Workout</t>
  </si>
  <si>
    <t>Muscle recovery</t>
  </si>
  <si>
    <t>🍚 Mass Gainer</t>
  </si>
  <si>
    <t>2 scoops</t>
  </si>
  <si>
    <t>Between meals</t>
  </si>
  <si>
    <t>Extra calories</t>
  </si>
  <si>
    <t>💊 Multivitamin</t>
  </si>
  <si>
    <t>1 tablet</t>
  </si>
  <si>
    <t>After breakfast</t>
  </si>
  <si>
    <t>Overall health</t>
  </si>
  <si>
    <t>🐟 Omega-3</t>
  </si>
  <si>
    <t>1 capsule</t>
  </si>
  <si>
    <t>After dinner</t>
  </si>
  <si>
    <t>Joint + brain</t>
  </si>
  <si>
    <t>⚡ Creatine</t>
  </si>
  <si>
    <t>5g</t>
  </si>
  <si>
    <t>Pre-workout</t>
  </si>
  <si>
    <t>Strength + power</t>
  </si>
  <si>
    <t>🌿 BCAA</t>
  </si>
  <si>
    <t>Intra-workout</t>
  </si>
  <si>
    <t>Muscle preservation</t>
  </si>
  <si>
    <t>☀️ Vitamin D3</t>
  </si>
  <si>
    <t>Bone health</t>
  </si>
  <si>
    <t>🦴 Calcium</t>
  </si>
  <si>
    <t>Bone strength</t>
  </si>
  <si>
    <t>WORKOUT</t>
  </si>
  <si>
    <t>PRE-MEAL</t>
  </si>
  <si>
    <t>POST-MEAL</t>
  </si>
  <si>
    <t>Chest + Triceps</t>
  </si>
  <si>
    <t>6:00-7:30 AM</t>
  </si>
  <si>
    <t>Whey + Milk</t>
  </si>
  <si>
    <t>Push</t>
  </si>
  <si>
    <t>Back + Biceps</t>
  </si>
  <si>
    <t>Pull</t>
  </si>
  <si>
    <t>Legs + Abs</t>
  </si>
  <si>
    <t>Lower</t>
  </si>
  <si>
    <t>Shoulders + Arms</t>
  </si>
  <si>
    <t>Chest + Back</t>
  </si>
  <si>
    <t>Dates + Milk</t>
  </si>
  <si>
    <t>Full</t>
  </si>
  <si>
    <t>Full Body + Cardio</t>
  </si>
  <si>
    <t>7:00-8:30 AM</t>
  </si>
  <si>
    <t>REST + Recovery</t>
  </si>
  <si>
    <t>Normal</t>
  </si>
  <si>
    <t>📊 CEO PERFORMANCE METRICS</t>
  </si>
  <si>
    <t>Skills Mastered</t>
  </si>
  <si>
    <t>Skills Practicing</t>
  </si>
  <si>
    <t>Strategy %</t>
  </si>
  <si>
    <t>Leadership %</t>
  </si>
  <si>
    <t>Communication %</t>
  </si>
  <si>
    <t>Decisions %</t>
  </si>
  <si>
    <t>Personal %</t>
  </si>
  <si>
    <t>Overall</t>
  </si>
  <si>
    <t>S.No</t>
  </si>
  <si>
    <t>Category</t>
  </si>
  <si>
    <t>Skill</t>
  </si>
  <si>
    <t>Priority</t>
  </si>
  <si>
    <t>Target</t>
  </si>
  <si>
    <t>Current</t>
  </si>
  <si>
    <t>Status</t>
  </si>
  <si>
    <t>🧠 Strategic Thinking</t>
  </si>
  <si>
    <t>1.1 Vision Setting</t>
  </si>
  <si>
    <t>🔴 High</t>
  </si>
  <si>
    <t>1.2 Long-Term Planning</t>
  </si>
  <si>
    <t>1.3 Market Awareness</t>
  </si>
  <si>
    <t>🟡 Medium</t>
  </si>
  <si>
    <t>1.4 Pattern Recognition</t>
  </si>
  <si>
    <t>1.5 Systems Thinking</t>
  </si>
  <si>
    <t>1.6 Scenario Planning</t>
  </si>
  <si>
    <t>1.7 Resource Allocation</t>
  </si>
  <si>
    <t>1.8 Competitive Analysis</t>
  </si>
  <si>
    <t>👥 Leadership</t>
  </si>
  <si>
    <t>2.1 Vision Communication</t>
  </si>
  <si>
    <t>2.2 Delegation</t>
  </si>
  <si>
    <t>2.3 Motivation</t>
  </si>
  <si>
    <t>2.4 Coaching</t>
  </si>
  <si>
    <t>2.5 Feedback</t>
  </si>
  <si>
    <t>2.6 Conflict Resolution</t>
  </si>
  <si>
    <t>2.7 Emotional Intelligence</t>
  </si>
  <si>
    <t>2.8 Accountability</t>
  </si>
  <si>
    <t>2.9 Change Management</t>
  </si>
  <si>
    <t>2.10 Building Culture</t>
  </si>
  <si>
    <t>💬 Communication</t>
  </si>
  <si>
    <t>3.1 Public Speaking</t>
  </si>
  <si>
    <t>3.2 Presentation Skills</t>
  </si>
  <si>
    <t>3.3 Writing</t>
  </si>
  <si>
    <t>3.4 Active Listening</t>
  </si>
  <si>
    <t>3.5 Negotiation</t>
  </si>
  <si>
    <t>3.6 Storytelling</t>
  </si>
  <si>
    <t>3.7 Non-Verbal</t>
  </si>
  <si>
    <t>3.8 Media/PR</t>
  </si>
  <si>
    <t>🟢 Low</t>
  </si>
  <si>
    <t>💰 Financial</t>
  </si>
  <si>
    <t>4.1 Financial Literacy</t>
  </si>
  <si>
    <t>4.2 Budgeting</t>
  </si>
  <si>
    <t>4.3 Fundraising</t>
  </si>
  <si>
    <t>4.4 Investment</t>
  </si>
  <si>
    <t>4.5 Cost Management</t>
  </si>
  <si>
    <t>4.6 Financial Modeling</t>
  </si>
  <si>
    <t>4.7 Risk Management</t>
  </si>
  <si>
    <t>🎯 Decision Making</t>
  </si>
  <si>
    <t>5.1 Critical Thinking</t>
  </si>
  <si>
    <t>5.2 Data-Driven Decisions</t>
  </si>
  <si>
    <t>5.3 Intuition</t>
  </si>
  <si>
    <t>5.4 Prioritization</t>
  </si>
  <si>
    <t>5.5 Risk Assessment</t>
  </si>
  <si>
    <t>5.6 Speed vs Accuracy</t>
  </si>
  <si>
    <t>🤝 People Management</t>
  </si>
  <si>
    <t>6.1 Hiring</t>
  </si>
  <si>
    <t>6.2 Firing</t>
  </si>
  <si>
    <t>6.3 Performance Review</t>
  </si>
  <si>
    <t>6.4 Compensation</t>
  </si>
  <si>
    <t>6.5 Team Building</t>
  </si>
  <si>
    <t>6.6 Networking</t>
  </si>
  <si>
    <t>6.7 Mentorship</t>
  </si>
  <si>
    <t>6.8 Succession Planning</t>
  </si>
  <si>
    <t>🚀 Execution</t>
  </si>
  <si>
    <t>7.1 Goal Setting</t>
  </si>
  <si>
    <t>7.2 Project Management</t>
  </si>
  <si>
    <t>7.3 Time Management</t>
  </si>
  <si>
    <t>7.4 Focus/Deep Work</t>
  </si>
  <si>
    <t>7.5 Productivity</t>
  </si>
  <si>
    <t>7.6 Follow-Through</t>
  </si>
  <si>
    <t>7.7 Problem Solving</t>
  </si>
  <si>
    <t>🧘 Personal Mastery</t>
  </si>
  <si>
    <t>8.1 Self-Awareness</t>
  </si>
  <si>
    <t>8.2 Emotional Regulation</t>
  </si>
  <si>
    <t>8.3 Stress Management</t>
  </si>
  <si>
    <t>8.4 Resilience</t>
  </si>
  <si>
    <t>8.5 Continuous Learning</t>
  </si>
  <si>
    <t>8.6 Health Management</t>
  </si>
  <si>
    <t>8.7 Discipline</t>
  </si>
  <si>
    <t>8.8 Integrity</t>
  </si>
  <si>
    <t>🌐 External Relations</t>
  </si>
  <si>
    <t>9.1 Customer Focus</t>
  </si>
  <si>
    <t>9.2 Partnership Building</t>
  </si>
  <si>
    <t>9.3 Investor Relations</t>
  </si>
  <si>
    <t>9.4 Government/Regulatory</t>
  </si>
  <si>
    <t>9.5 Industry Presence</t>
  </si>
  <si>
    <t>9.6 Community Building</t>
  </si>
  <si>
    <t>🔧 Technical</t>
  </si>
  <si>
    <t>10.1 Industry Knowledge</t>
  </si>
  <si>
    <t>10.2 Technology Awareness</t>
  </si>
  <si>
    <t>10.3 Product Knowledge</t>
  </si>
  <si>
    <t>10.4 Data Analytics</t>
  </si>
  <si>
    <t>10.5 Process Optimization</t>
  </si>
  <si>
    <t>ACTIVITY</t>
  </si>
  <si>
    <t>SKILL FOCUS</t>
  </si>
  <si>
    <t>5:00 - 6:00</t>
  </si>
  <si>
    <t>🏋️ Exercise + Meditation</t>
  </si>
  <si>
    <t>Health + Discipline</t>
  </si>
  <si>
    <t>Personal</t>
  </si>
  <si>
    <t>6:00 - 7:00</t>
  </si>
  <si>
    <t>📚 Reading (Books + News)</t>
  </si>
  <si>
    <t>Learning + Strategy</t>
  </si>
  <si>
    <t>Knowledge</t>
  </si>
  <si>
    <t>7:00 - 8:00</t>
  </si>
  <si>
    <t>🧠 Deep Work (Strategic)</t>
  </si>
  <si>
    <t>Focus + Strategy</t>
  </si>
  <si>
    <t>Execution</t>
  </si>
  <si>
    <t>8:00 - 9:00</t>
  </si>
  <si>
    <t>📧 Emails + Communication</t>
  </si>
  <si>
    <t>Writing</t>
  </si>
  <si>
    <t>Communication</t>
  </si>
  <si>
    <t>9:00 - 10:00</t>
  </si>
  <si>
    <t>👥 Team Meeting</t>
  </si>
  <si>
    <t>Leadership</t>
  </si>
  <si>
    <t>10:00 - 12:00</t>
  </si>
  <si>
    <t>🚀 Critical Work</t>
  </si>
  <si>
    <t>2 hr</t>
  </si>
  <si>
    <t>12:00 - 1:00</t>
  </si>
  <si>
    <t>🍽️ Lunch + Networking</t>
  </si>
  <si>
    <t>Networking</t>
  </si>
  <si>
    <t>External</t>
  </si>
  <si>
    <t>1:00 - 3:00</t>
  </si>
  <si>
    <t>🎯 Meetings + Decisions</t>
  </si>
  <si>
    <t>Decision Making</t>
  </si>
  <si>
    <t>Decisions</t>
  </si>
  <si>
    <t>3:00 - 5:00</t>
  </si>
  <si>
    <t>🧠 Deep Work</t>
  </si>
  <si>
    <t>Focus</t>
  </si>
  <si>
    <t>🤝 1-on-1s</t>
  </si>
  <si>
    <t>People Management</t>
  </si>
  <si>
    <t>People</t>
  </si>
  <si>
    <t>💰 Financial Review</t>
  </si>
  <si>
    <t>Finance</t>
  </si>
  <si>
    <t>🍽️ Dinner + Family</t>
  </si>
  <si>
    <t>Life Balance</t>
  </si>
  <si>
    <t>📚 Learning</t>
  </si>
  <si>
    <t>Continuous Learning</t>
  </si>
  <si>
    <t>📝 Journal + Review</t>
  </si>
  <si>
    <t>Self-Awareness</t>
  </si>
  <si>
    <t>Health</t>
  </si>
  <si>
    <t>Weeks</t>
  </si>
  <si>
    <t>Focus Area</t>
  </si>
  <si>
    <t>Goal</t>
  </si>
  <si>
    <t>Daily Action</t>
  </si>
  <si>
    <t>Progress</t>
  </si>
  <si>
    <t>W1-4</t>
  </si>
  <si>
    <t>Master vision + planning</t>
  </si>
  <si>
    <t>30 min strategy reading</t>
  </si>
  <si>
    <t>W5-8</t>
  </si>
  <si>
    <t>Lead self + others</t>
  </si>
  <si>
    <t>1 leadership action</t>
  </si>
  <si>
    <t>W9-12</t>
  </si>
  <si>
    <t>Public speaking</t>
  </si>
  <si>
    <t>10 min mirror + record</t>
  </si>
  <si>
    <t>W13-16</t>
  </si>
  <si>
    <t>💰 Financial Literacy</t>
  </si>
  <si>
    <t>Master finance</t>
  </si>
  <si>
    <t>30 min finance study</t>
  </si>
  <si>
    <t>W17-20</t>
  </si>
  <si>
    <t>Fast decisions</t>
  </si>
  <si>
    <t>1 decision analysis</t>
  </si>
  <si>
    <t>W21-24</t>
  </si>
  <si>
    <t>Network + team</t>
  </si>
  <si>
    <t>3 connections/week</t>
  </si>
  <si>
    <t>W25-28</t>
  </si>
  <si>
    <t>Deep work mastery</t>
  </si>
  <si>
    <t>4 hr deep work</t>
  </si>
  <si>
    <t>W29-32</t>
  </si>
  <si>
    <t>Emotional control</t>
  </si>
  <si>
    <t>Meditation + journal</t>
  </si>
  <si>
    <t>W33-36</t>
  </si>
  <si>
    <t>Industry presence</t>
  </si>
  <si>
    <t>Content + networking</t>
  </si>
  <si>
    <t>W37-40</t>
  </si>
  <si>
    <t>Data analytics</t>
  </si>
  <si>
    <t>1 hr technical study</t>
  </si>
  <si>
    <t>W41-44</t>
  </si>
  <si>
    <t>🏆 Integration</t>
  </si>
  <si>
    <t>All skills combined</t>
  </si>
  <si>
    <t>Weekly CEO review</t>
  </si>
  <si>
    <t>W45-48</t>
  </si>
  <si>
    <t>🚀 Mastery</t>
  </si>
  <si>
    <t>Execute like CEO</t>
  </si>
  <si>
    <t>Daily CEO routine</t>
  </si>
  <si>
    <t>W49-52</t>
  </si>
  <si>
    <t>📊 Review + 2027 Plan</t>
  </si>
  <si>
    <t>Year in review</t>
  </si>
  <si>
    <t>Complete yearly review</t>
  </si>
  <si>
    <t>Book Title</t>
  </si>
  <si>
    <t>Author</t>
  </si>
  <si>
    <t>Skill Focus</t>
  </si>
  <si>
    <t>Read?</t>
  </si>
  <si>
    <t>The 5 Second Rule</t>
  </si>
  <si>
    <t>Mel Robbins</t>
  </si>
  <si>
    <t>Fear + Action</t>
  </si>
  <si>
    <t>Feel the Fear and Do It Anyway</t>
  </si>
  <si>
    <t>Susan Jeffers</t>
  </si>
  <si>
    <t>Fear Management</t>
  </si>
  <si>
    <t>The Charisma Myth</t>
  </si>
  <si>
    <t>Olivia Fox Cabane</t>
  </si>
  <si>
    <t>Voice + Presence</t>
  </si>
  <si>
    <t>Talk Like TED</t>
  </si>
  <si>
    <t>Carmine Gallo</t>
  </si>
  <si>
    <t>Public Speaking</t>
  </si>
  <si>
    <t>The Art of Public Speaking</t>
  </si>
  <si>
    <t>Dale Carnegie</t>
  </si>
  <si>
    <t>Speaking</t>
  </si>
  <si>
    <t>The Gifts of Imperfection</t>
  </si>
  <si>
    <t>Brené Brown</t>
  </si>
  <si>
    <t>Insecurity</t>
  </si>
  <si>
    <t>Daring Greatly</t>
  </si>
  <si>
    <t>Vulnerability</t>
  </si>
  <si>
    <t>Atomic Habits</t>
  </si>
  <si>
    <t>James Clear</t>
  </si>
  <si>
    <t>Habit Building</t>
  </si>
  <si>
    <t>Deep Work</t>
  </si>
  <si>
    <t>Cal Newport</t>
  </si>
  <si>
    <t>The 7 Habits of Highly Effective People</t>
  </si>
  <si>
    <t>Stephen Covey</t>
  </si>
  <si>
    <t>Zero to One</t>
  </si>
  <si>
    <t>Peter Thiel</t>
  </si>
  <si>
    <t>Strategy</t>
  </si>
  <si>
    <t>The Lean Startup</t>
  </si>
  <si>
    <t>Eric Ries</t>
  </si>
  <si>
    <t>Good to Great</t>
  </si>
  <si>
    <t>Jim Collins</t>
  </si>
  <si>
    <t>Thinking, Fast and Slow</t>
  </si>
  <si>
    <t>Daniel Kahneman</t>
  </si>
  <si>
    <t>The Intelligent Investor</t>
  </si>
  <si>
    <t>Benjamin Graham</t>
  </si>
  <si>
    <t>Rich Dad Poor Dad</t>
  </si>
  <si>
    <t>Robert Kiyosaki</t>
  </si>
  <si>
    <t>Financial Literacy</t>
  </si>
  <si>
    <t>How to Win Friends and Influence People</t>
  </si>
  <si>
    <t>People Skills</t>
  </si>
  <si>
    <t>Never Split the Difference</t>
  </si>
  <si>
    <t>Chris Voss</t>
  </si>
  <si>
    <t>Negotiation</t>
  </si>
  <si>
    <t>The Hard Thing About Hard Things</t>
  </si>
  <si>
    <t>Ben Horowitz</t>
  </si>
  <si>
    <t>CEO Life</t>
  </si>
  <si>
    <t>Shoe Dog</t>
  </si>
  <si>
    <t>Phil Knight</t>
  </si>
  <si>
    <t>Entrepreneurship</t>
  </si>
  <si>
    <t>Steve Jobs</t>
  </si>
  <si>
    <t>Walter Isaacson</t>
  </si>
  <si>
    <t>Elon Musk</t>
  </si>
  <si>
    <t>Ashlee Vance</t>
  </si>
  <si>
    <t>Innovation</t>
  </si>
  <si>
    <t>Principles</t>
  </si>
  <si>
    <t>Ray Dalio</t>
  </si>
  <si>
    <t>Life + Work</t>
  </si>
  <si>
    <t>The Almanack of Naval Ravikant</t>
  </si>
  <si>
    <t>Eric Jorgenson</t>
  </si>
  <si>
    <t>Wealth + Happiness</t>
  </si>
  <si>
    <t>Sapiens</t>
  </si>
  <si>
    <t>Yuval Noah Harari</t>
  </si>
  <si>
    <t>Big Picture</t>
  </si>
  <si>
    <t>🎯 What was my #1 priority today?</t>
  </si>
  <si>
    <t>✅ What did I complete?</t>
  </si>
  <si>
    <t>❌ What did I miss?</t>
  </si>
  <si>
    <t>🤝 Who did I help/connect with?</t>
  </si>
  <si>
    <t>💰 How did I manage finances?</t>
  </si>
  <si>
    <t>💪 How was my health?</t>
  </si>
  <si>
    <t>🧠 What decision did I make?</t>
  </si>
  <si>
    <t>🌟 What's my biggest win today?</t>
  </si>
  <si>
    <t>🎯 What's my #1 priority tomorrow?</t>
  </si>
  <si>
    <t>👑 I am the CEO of my life</t>
  </si>
  <si>
    <t>🎯 I make decisions with confidence</t>
  </si>
  <si>
    <t>💪 I embrace challenges as opportunities</t>
  </si>
  <si>
    <t>🧠 I learn from every failure</t>
  </si>
  <si>
    <t>❤️ I lead with empathy and strength</t>
  </si>
  <si>
    <t>🚀 I execute with discipline</t>
  </si>
  <si>
    <t>💰 I create and manage wealth wisely</t>
  </si>
  <si>
    <t>🌐 I build meaningful relationships</t>
  </si>
  <si>
    <t>🧘 I stay calm under pressure</t>
  </si>
  <si>
    <t>📚 I learn something new every day</t>
  </si>
  <si>
    <t>🙏 I am grateful for this journey</t>
  </si>
  <si>
    <t>🌟 I am becoming the best version of myself</t>
  </si>
  <si>
    <t>🔥 I refuse to give up</t>
  </si>
  <si>
    <t>⏰ I value time and use it wisely</t>
  </si>
  <si>
    <t>🤝 I keep my commitments</t>
  </si>
  <si>
    <t>📔 DAILY DIARY</t>
  </si>
  <si>
    <t>Date: ______________________</t>
  </si>
  <si>
    <t>My Daily Journal</t>
  </si>
  <si>
    <t>📅 WEEKLY DIARY</t>
  </si>
  <si>
    <t>📝 NOTES</t>
  </si>
  <si>
    <t>🙏 GRATITUDE JOURNAL</t>
  </si>
  <si>
    <t>1. Today I am grateful for...</t>
  </si>
  <si>
    <t>2. A person who made me smile...</t>
  </si>
  <si>
    <t>3. Something beautiful I noticed...</t>
  </si>
  <si>
    <t>4. A lesson I learned...</t>
  </si>
  <si>
    <t>5. Something I'm proud of...</t>
  </si>
  <si>
    <t>📅 MONTH OVERVIEW</t>
  </si>
  <si>
    <t>💵 Total Income</t>
  </si>
  <si>
    <t>💳 Total Expenses</t>
  </si>
  <si>
    <t>💰 Net Savings</t>
  </si>
  <si>
    <t>📊 Savings Rate (%)</t>
  </si>
  <si>
    <t>🏦 Loan EMI</t>
  </si>
  <si>
    <t>💎 Investment</t>
  </si>
  <si>
    <t>SOURCE</t>
  </si>
  <si>
    <t>AMOUNT</t>
  </si>
  <si>
    <t>MODE</t>
  </si>
  <si>
    <t>Salary</t>
  </si>
  <si>
    <t>💼 Job</t>
  </si>
  <si>
    <t>Bank</t>
  </si>
  <si>
    <t>Oct salary</t>
  </si>
  <si>
    <t>Freelance</t>
  </si>
  <si>
    <t>💻 Work</t>
  </si>
  <si>
    <t>UPI</t>
  </si>
  <si>
    <t>Web project</t>
  </si>
  <si>
    <t>Tutoring</t>
  </si>
  <si>
    <t>📚 Teaching</t>
  </si>
  <si>
    <t>Cash</t>
  </si>
  <si>
    <t>Maths</t>
  </si>
  <si>
    <t>YouTube</t>
  </si>
  <si>
    <t>📺 Content</t>
  </si>
  <si>
    <t>Ad revenue</t>
  </si>
  <si>
    <t>Side Hustle</t>
  </si>
  <si>
    <t>🛍️ Reselling</t>
  </si>
  <si>
    <t>Online</t>
  </si>
  <si>
    <t>Investment</t>
  </si>
  <si>
    <t>📈 Returns</t>
  </si>
  <si>
    <t>Mutual fund</t>
  </si>
  <si>
    <t>Bonus</t>
  </si>
  <si>
    <t>🎁 Extra</t>
  </si>
  <si>
    <t>Performance</t>
  </si>
  <si>
    <t>Cashback</t>
  </si>
  <si>
    <t>💳 Rewards</t>
  </si>
  <si>
    <t>Credit card</t>
  </si>
  <si>
    <t>PAYMENT</t>
  </si>
  <si>
    <t>House Rent</t>
  </si>
  <si>
    <t>🏠 Rent</t>
  </si>
  <si>
    <t>Monthly</t>
  </si>
  <si>
    <t>Groceries</t>
  </si>
  <si>
    <t>🍽️ Food</t>
  </si>
  <si>
    <t>Petrol</t>
  </si>
  <si>
    <t>🚗 Transport</t>
  </si>
  <si>
    <t>Fuel</t>
  </si>
  <si>
    <t>Course Fee</t>
  </si>
  <si>
    <t>📚 Education</t>
  </si>
  <si>
    <t>Netflix+Spotify</t>
  </si>
  <si>
    <t>📱 Subs</t>
  </si>
  <si>
    <t>Electricity</t>
  </si>
  <si>
    <t>💡 Utilities</t>
  </si>
  <si>
    <t>Restaurant</t>
  </si>
  <si>
    <t>Dining</t>
  </si>
  <si>
    <t>Clothes</t>
  </si>
  <si>
    <t>👕 Shopping</t>
  </si>
  <si>
    <t>Card</t>
  </si>
  <si>
    <t>New shirt</t>
  </si>
  <si>
    <t>Recharge</t>
  </si>
  <si>
    <t>Medical</t>
  </si>
  <si>
    <t>💊 Health</t>
  </si>
  <si>
    <t>Medicines</t>
  </si>
  <si>
    <t>Internet</t>
  </si>
  <si>
    <t>LOAN</t>
  </si>
  <si>
    <t>PRINCIPAL</t>
  </si>
  <si>
    <t>EMI</t>
  </si>
  <si>
    <t>TENURE</t>
  </si>
  <si>
    <t>PAID</t>
  </si>
  <si>
    <t>REMAINING</t>
  </si>
  <si>
    <t>🎓 Education Loan</t>
  </si>
  <si>
    <t>48 months</t>
  </si>
  <si>
    <t>🟡</t>
  </si>
  <si>
    <t>💻 Laptop EMI</t>
  </si>
  <si>
    <t>24 months</t>
  </si>
  <si>
    <t>📱 Phone EMI</t>
  </si>
  <si>
    <t>18 months</t>
  </si>
  <si>
    <t>🏠 Home Loan</t>
  </si>
  <si>
    <t>🧮 EMI CALCULATOR</t>
  </si>
  <si>
    <t>Principal:</t>
  </si>
  <si>
    <t>Interest Rate (%):</t>
  </si>
  <si>
    <t>Tenure (Months):</t>
  </si>
  <si>
    <t>Monthly EMI:</t>
  </si>
  <si>
    <t>💧 1 Glass Water</t>
  </si>
  <si>
    <t>🧘 Meditation 10 min</t>
  </si>
  <si>
    <t>🍽️ 6 Meals/Day</t>
  </si>
  <si>
    <t>🚶 Walk 30 min</t>
  </si>
  <si>
    <t>📊 Track Expenses</t>
  </si>
  <si>
    <t>💰 Update Savings</t>
  </si>
  <si>
    <t>📝 Daily Journal</t>
  </si>
  <si>
    <t>📖 Read 30 min</t>
  </si>
  <si>
    <t>📱 No Phone after 9PM</t>
  </si>
  <si>
    <t>STALL</t>
  </si>
  <si>
    <t>🥬 Veg Stall</t>
  </si>
  <si>
    <t>🍎 Fruit Stall</t>
  </si>
  <si>
    <t>🥛 Dairy</t>
  </si>
  <si>
    <t>🏪 Kirana</t>
  </si>
  <si>
    <t>🥚 Egg Stall</t>
  </si>
  <si>
    <t>TOTAL BUDGET</t>
  </si>
  <si>
    <t>📊 MONTHLY KEY PERFORMANCE INDICATORS</t>
  </si>
  <si>
    <t>Total Days</t>
  </si>
  <si>
    <t>Active Days</t>
  </si>
  <si>
    <t>Completion %</t>
  </si>
  <si>
    <t>Total Hours</t>
  </si>
  <si>
    <t>Hours/Day</t>
  </si>
  <si>
    <t>Knowledge Hrs</t>
  </si>
  <si>
    <t>Language Hrs</t>
  </si>
  <si>
    <t>Max Streak</t>
  </si>
  <si>
    <t>Day</t>
  </si>
  <si>
    <t>Date</t>
  </si>
  <si>
    <t>Week</t>
  </si>
  <si>
    <t>Mood</t>
  </si>
  <si>
    <t>Total Hrs</t>
  </si>
  <si>
    <t>Language</t>
  </si>
  <si>
    <t>College</t>
  </si>
  <si>
    <t>Streak</t>
  </si>
  <si>
    <t>W40</t>
  </si>
  <si>
    <t>😐</t>
  </si>
  <si>
    <t>W41</t>
  </si>
  <si>
    <t>W42</t>
  </si>
  <si>
    <t>W43</t>
  </si>
  <si>
    <t>W44</t>
  </si>
  <si>
    <t>Deadline</t>
  </si>
  <si>
    <t>Complete 5 subjects</t>
  </si>
  <si>
    <t>Read 4 books</t>
  </si>
  <si>
    <t>Learn 650 words</t>
  </si>
  <si>
    <t>🛠️ Skill</t>
  </si>
  <si>
    <t>Build 3 projects</t>
  </si>
  <si>
    <t>40 tasks</t>
  </si>
  <si>
    <t>80 queries</t>
  </si>
  <si>
    <t>20 topics</t>
  </si>
  <si>
    <t>40 problems</t>
  </si>
  <si>
    <t>💪 Health</t>
  </si>
  <si>
    <t>Gain 2 kg</t>
  </si>
  <si>
    <t>💰 Finance</t>
  </si>
  <si>
    <t>Save ₹22,000</t>
  </si>
  <si>
    <t>🏆 Marketing</t>
  </si>
  <si>
    <t>4 milestones</t>
  </si>
  <si>
    <t>🔥 Habit</t>
  </si>
  <si>
    <t>31-day streak</t>
  </si>
  <si>
    <t>📝 Personal</t>
  </si>
  <si>
    <t>30 challenges</t>
  </si>
  <si>
    <t>📚 Reading</t>
  </si>
  <si>
    <t>30 min daily</t>
  </si>
  <si>
    <t>🌅 Wake 6 AM</t>
  </si>
  <si>
    <t>💧 Water</t>
  </si>
  <si>
    <t>😴 Sleep 10PM</t>
  </si>
  <si>
    <t>📵 No Phone</t>
  </si>
  <si>
    <t>📖 Reading</t>
  </si>
  <si>
    <t>🍎 Fruits</t>
  </si>
  <si>
    <t>🥗 Veggies</t>
  </si>
  <si>
    <t>💰 Expenses</t>
  </si>
  <si>
    <t>HOURS</t>
  </si>
  <si>
    <t>📊 Test</t>
  </si>
  <si>
    <t>🔄 College</t>
  </si>
  <si>
    <t>🔄 Mistake</t>
  </si>
  <si>
    <t>🎓 Stats</t>
  </si>
  <si>
    <t>🌐 English</t>
  </si>
  <si>
    <t>🛠️ Python</t>
  </si>
  <si>
    <t>🌐 Japanese</t>
  </si>
  <si>
    <t>🧠 DSA</t>
  </si>
  <si>
    <t>🛠️ Excel</t>
  </si>
  <si>
    <t>Mixed</t>
  </si>
  <si>
    <t>🛠️ SQL</t>
  </si>
  <si>
    <t>🌐 Languages</t>
  </si>
  <si>
    <t>🧠 Spaced</t>
  </si>
  <si>
    <t>📝 Flashcards</t>
  </si>
  <si>
    <t>📊 KPI</t>
  </si>
  <si>
    <t>Flashcards</t>
  </si>
  <si>
    <t>🎓 Business Statistics</t>
  </si>
  <si>
    <t>🎓 Business Communication</t>
  </si>
  <si>
    <t>🎓 Management Foundation</t>
  </si>
  <si>
    <t>🎓 Accounting Fundamentals</t>
  </si>
  <si>
    <t>🎓 Principles of Marketing</t>
  </si>
  <si>
    <t>📘 Knowledge Reading</t>
  </si>
  <si>
    <t>🌐 English Grammar</t>
  </si>
  <si>
    <t>🌐 Japanese Vocab</t>
  </si>
  <si>
    <t>🛠️ Excel Skills</t>
  </si>
  <si>
    <t>🛠️ SQL Queries</t>
  </si>
  <si>
    <t>🛠️ Python Basics</t>
  </si>
  <si>
    <t>🧠 DSA Problems</t>
  </si>
  <si>
    <t>🎤 Voice Practice</t>
  </si>
  <si>
    <t>⚙️ ALL SETTINGS</t>
  </si>
  <si>
    <t>Company</t>
  </si>
  <si>
    <t>Life OS Enterprises</t>
  </si>
  <si>
    <t>CEO</t>
  </si>
  <si>
    <t>YOU</t>
  </si>
  <si>
    <t>Year</t>
  </si>
  <si>
    <t>Wake Time</t>
  </si>
  <si>
    <t>Sleep Time</t>
  </si>
  <si>
    <t>Daily Water</t>
  </si>
  <si>
    <t>8 glasses</t>
  </si>
  <si>
    <t>Daily Calorie</t>
  </si>
  <si>
    <t>2000 cal</t>
  </si>
  <si>
    <t>Weekly Budget</t>
  </si>
  <si>
    <t>₹ 3,500</t>
  </si>
  <si>
    <t>Gym Days</t>
  </si>
  <si>
    <t>5-6 days/week</t>
  </si>
  <si>
    <t>Total CEO Skills</t>
  </si>
  <si>
    <t>Total Habits</t>
  </si>
  <si>
    <t>Total Tasks</t>
  </si>
  <si>
    <t>👑 CEO SKILLS TRACKER — 73 SKILLS</t>
  </si>
  <si>
    <t>⏰ CEO DAILY SCHEDULE — 5 AM to 10 PM</t>
  </si>
  <si>
    <t>📅 52-WEEK CEO DEVELOPMENT PLAN</t>
  </si>
  <si>
    <t>📚 CEO BOOK RECOMMENDATIONS — 25 BOOKS</t>
  </si>
  <si>
    <t>📝 DAILY CEO JOURNAL</t>
  </si>
  <si>
    <t>👑 CEO MINDSET — DAILY AFFIRMATIONS</t>
  </si>
  <si>
    <t>💰 FINANCIAL DASHBOARD</t>
  </si>
  <si>
    <t>💵 INCOME TRACKER</t>
  </si>
  <si>
    <t>💳 EXPENSE TRACKER</t>
  </si>
  <si>
    <t>🏦 LOAN MANAGER</t>
  </si>
  <si>
    <t>✅ DAILY CHECKLIST</t>
  </si>
  <si>
    <t>🏪 HATIYA MARKET — SHOPPING LIST</t>
  </si>
  <si>
    <t>📅 DAILY TRACKER — MONTH</t>
  </si>
  <si>
    <t>🎯 MONTHLY GOALS</t>
  </si>
  <si>
    <t>🔥 MONTHLY HABITS TRACKER</t>
  </si>
  <si>
    <t>📚 REVISION SCHEDULE</t>
  </si>
  <si>
    <t>✅ REVISION TRACKER</t>
  </si>
  <si>
    <t>📅 PLANNING SHEET — Monthly + Weekly Study Plan</t>
  </si>
  <si>
    <t>📆 Today:</t>
  </si>
  <si>
    <t>Day:</t>
  </si>
  <si>
    <t>Week:</t>
  </si>
  <si>
    <t>Month:</t>
  </si>
  <si>
    <t>🎯 IS MONTH KYA KARNA HAI (Monthly Plan)</t>
  </si>
  <si>
    <t>Goal / Task</t>
  </si>
  <si>
    <t>Amity subjects complete</t>
  </si>
  <si>
    <t>5 subjects</t>
  </si>
  <si>
    <t>⚪ Not Started</t>
  </si>
  <si>
    <t>Read 2 books</t>
  </si>
  <si>
    <t>2 books</t>
  </si>
  <si>
    <t>English + Japanese</t>
  </si>
  <si>
    <t>650 words</t>
  </si>
  <si>
    <t>Python + Excel + SQL</t>
  </si>
  <si>
    <t>3 projects</t>
  </si>
  <si>
    <t>Weight gain + gym</t>
  </si>
  <si>
    <t>+2 kg</t>
  </si>
  <si>
    <t>Save money</t>
  </si>
  <si>
    <t>₹22,000</t>
  </si>
  <si>
    <t>🎯 Personal</t>
  </si>
  <si>
    <t>Daily habits</t>
  </si>
  <si>
    <t>31 days</t>
  </si>
  <si>
    <t>📆 AGLA WEEK KYA PADHEGA (Next Week Study Plan)</t>
  </si>
  <si>
    <t>📅 Next Week:</t>
  </si>
  <si>
    <t>to</t>
  </si>
  <si>
    <t>Week No:</t>
  </si>
  <si>
    <t>Subject</t>
  </si>
  <si>
    <t>Chapter / Topic</t>
  </si>
  <si>
    <t>Time</t>
  </si>
  <si>
    <t>📚 NEXT TO NEXT WEEK KYA PADHEGA (Week After Next Plan)</t>
  </si>
  <si>
    <t>📅 Week After Next:</t>
  </si>
  <si>
    <t>📅 Planning Sheet</t>
  </si>
  <si>
    <t>⏰ 24 HOUR DAILY PLAN — Alarm + SMS + Call + Email</t>
  </si>
  <si>
    <t>SMS NUMBER</t>
  </si>
  <si>
    <t>SMS MESSAGE</t>
  </si>
  <si>
    <t>CALL?</t>
  </si>
  <si>
    <t>Uthna + Fresh hona</t>
  </si>
  <si>
    <t>+916206366350</t>
  </si>
  <si>
    <t>Uthne ka time ho gaya hai! Subah 5 baje — uth jao</t>
  </si>
  <si>
    <t>YES</t>
  </si>
  <si>
    <t>Exercise / Yoga</t>
  </si>
  <si>
    <t>Exercise ka time! Gym ya yoga karo</t>
  </si>
  <si>
    <t>Meditation + Water</t>
  </si>
  <si>
    <t>Meditation ka time — 10 minute shaant baitho</t>
  </si>
  <si>
    <t>Padhai (Knowledge)</t>
  </si>
  <si>
    <t>Knowledge study ka time! Book kholo</t>
  </si>
  <si>
    <t>Nashta karne ka time ho gaya hai</t>
  </si>
  <si>
    <t>College / Class</t>
  </si>
  <si>
    <t>College jaane ka time — class ke liye ready ho jao</t>
  </si>
  <si>
    <t>Skill Practice</t>
  </si>
  <si>
    <t>Skill practice ka time — project pe kaam karo</t>
  </si>
  <si>
    <t>Lunch ka time ho gaya hai</t>
  </si>
  <si>
    <t>Language Learning</t>
  </si>
  <si>
    <t>Language study ka time — English padho</t>
  </si>
  <si>
    <t>College Study</t>
  </si>
  <si>
    <t>College subjects padhne ka time</t>
  </si>
  <si>
    <t>Snack + Break</t>
  </si>
  <si>
    <t>Snack break — thoda rest karo</t>
  </si>
  <si>
    <t>DSA / Coding</t>
  </si>
  <si>
    <t>Coding practice ka time — DSA problems solve karo</t>
  </si>
  <si>
    <t>Office / Work</t>
  </si>
  <si>
    <t>Work time — office ya freelance kaam</t>
  </si>
  <si>
    <t>Dinner ka time ho gaya hai</t>
  </si>
  <si>
    <t>Revision ka time — aaj ka padha hua revise karo</t>
  </si>
  <si>
    <t>Journal + Planning</t>
  </si>
  <si>
    <t>Journal likhne ka time — aaj ka review karo</t>
  </si>
  <si>
    <t>Reading</t>
  </si>
  <si>
    <t>Reading ka time — 30 minute book padho</t>
  </si>
  <si>
    <t>Finance Check</t>
  </si>
  <si>
    <t>Finance check ka time — expenses note karo</t>
  </si>
  <si>
    <t>Family Time</t>
  </si>
  <si>
    <t>Family ke saath time bitao</t>
  </si>
  <si>
    <t>Relax</t>
  </si>
  <si>
    <t>Relax karne ka time — phone/tv</t>
  </si>
  <si>
    <t>Sleep Prep</t>
  </si>
  <si>
    <t>Sone ki taiyari karo — phone band karo</t>
  </si>
  <si>
    <t>Sone ka time ho gaya hai — good night!</t>
  </si>
  <si>
    <t>Sleep (Deep)</t>
  </si>
  <si>
    <t>Deep sleep ka time — rest karo</t>
  </si>
  <si>
    <t>Raat ka rest — kal subah uthna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</si>
</sst>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dd\-mmm\-yyyy"/>
    <numFmt numFmtId="167" formatCode="dd\-mmm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64748B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F2A44"/>
      <name val="Calibri"/>
      <family val="2"/>
      <scheme val="minor"/>
    </font>
    <font>
      <i/>
      <sz val="9"/>
      <color rgb="FFFFFFFF"/>
      <name val="Calibri"/>
      <family val="2"/>
      <scheme val="minor"/>
    </font>
    <font>
      <b/>
      <sz val="13"/>
      <color rgb="FF1F2A4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20"/>
      <color rgb="FFFFFFFF"/>
      <name val="Calibri"/>
      <family val="2"/>
      <scheme val="minor"/>
    </font>
    <font>
      <i/>
      <sz val="11"/>
      <color rgb="FF5B3A1E"/>
      <name val="Georgia"/>
      <family val="1"/>
    </font>
    <font>
      <b/>
      <i/>
      <sz val="20"/>
      <color rgb="FF5B3A1E"/>
      <name val="Georgia"/>
      <family val="1"/>
    </font>
    <font>
      <b/>
      <sz val="12"/>
      <color rgb="FF5B3A1E"/>
      <name val="Georgia"/>
      <family val="1"/>
    </font>
    <font>
      <b/>
      <sz val="11"/>
      <color rgb="FF5B3A1E"/>
      <name val="Georgia"/>
      <family val="1"/>
    </font>
    <font>
      <sz val="12"/>
      <color theme="1"/>
      <name val="Calibri"/>
      <family val="2"/>
      <scheme val="minor"/>
    </font>
    <font>
      <b/>
      <u/>
      <sz val="18"/>
      <color rgb="FFFFFFFF"/>
      <name val="Calibri"/>
      <family val="2"/>
      <scheme val="minor"/>
    </font>
    <font>
      <b/>
      <u/>
      <sz val="16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5B3A1E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FE4D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7DCC8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/>
      <diagonal/>
    </border>
    <border>
      <left style="thin">
        <color rgb="FFD9DEE7"/>
      </left>
      <right/>
      <top/>
      <bottom/>
      <diagonal/>
    </border>
    <border>
      <left style="thin">
        <color rgb="FFD9DEE7"/>
      </left>
      <right/>
      <top style="thin">
        <color rgb="FFD9DEE7"/>
      </top>
      <bottom/>
      <diagonal/>
    </border>
    <border>
      <left/>
      <right/>
      <top/>
      <bottom style="thin">
        <color rgb="FF856625"/>
      </bottom>
      <diagonal/>
    </border>
    <border>
      <left/>
      <right/>
      <top style="thin">
        <color rgb="FF856625"/>
      </top>
      <bottom style="thin">
        <color rgb="FF856625"/>
      </bottom>
      <diagonal/>
    </border>
    <border>
      <left/>
      <right/>
      <top style="thin">
        <color rgb="FF856625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12" borderId="1" xfId="0" applyFont="1" applyFill="1" applyBorder="1"/>
    <xf numFmtId="0" fontId="0" fillId="12" borderId="1" xfId="0" applyFill="1" applyBorder="1" applyAlignment="1">
      <alignment horizontal="center"/>
    </xf>
    <xf numFmtId="0" fontId="0" fillId="0" borderId="1" xfId="0" applyBorder="1"/>
    <xf numFmtId="0" fontId="1" fillId="13" borderId="1" xfId="0" applyFont="1" applyFill="1" applyBorder="1"/>
    <xf numFmtId="0" fontId="0" fillId="13" borderId="1" xfId="0" applyFill="1" applyBorder="1"/>
    <xf numFmtId="0" fontId="1" fillId="14" borderId="1" xfId="0" applyFont="1" applyFill="1" applyBorder="1"/>
    <xf numFmtId="9" fontId="0" fillId="14" borderId="1" xfId="0" applyNumberFormat="1" applyFill="1" applyBorder="1"/>
    <xf numFmtId="0" fontId="1" fillId="15" borderId="1" xfId="0" applyFont="1" applyFill="1" applyBorder="1"/>
    <xf numFmtId="0" fontId="0" fillId="15" borderId="1" xfId="0" applyFill="1" applyBorder="1"/>
    <xf numFmtId="0" fontId="3" fillId="0" borderId="0" xfId="0" applyFont="1" applyAlignment="1">
      <alignment horizontal="center"/>
    </xf>
    <xf numFmtId="20" fontId="1" fillId="16" borderId="1" xfId="0" applyNumberFormat="1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13" borderId="0" xfId="0" applyFont="1" applyFill="1" applyAlignment="1">
      <alignment horizontal="left"/>
    </xf>
    <xf numFmtId="0" fontId="4" fillId="0" borderId="1" xfId="0" applyFont="1" applyBorder="1" applyAlignment="1">
      <alignment horizontal="center"/>
    </xf>
    <xf numFmtId="0" fontId="1" fillId="13" borderId="0" xfId="0" applyFont="1" applyFill="1" applyAlignment="1">
      <alignment horizontal="center"/>
    </xf>
    <xf numFmtId="9" fontId="1" fillId="0" borderId="0" xfId="0" applyNumberFormat="1" applyFont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11" fillId="14" borderId="0" xfId="0" applyFont="1" applyFill="1" applyAlignment="1">
      <alignment horizontal="left"/>
    </xf>
    <xf numFmtId="0" fontId="1" fillId="15" borderId="0" xfId="0" applyFont="1" applyFill="1" applyAlignment="1">
      <alignment horizontal="left"/>
    </xf>
    <xf numFmtId="9" fontId="1" fillId="13" borderId="0" xfId="0" applyNumberFormat="1" applyFont="1" applyFill="1"/>
    <xf numFmtId="9" fontId="3" fillId="6" borderId="0" xfId="0" applyNumberFormat="1" applyFont="1" applyFill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2" borderId="0" xfId="0" applyFont="1" applyFill="1" applyAlignment="1">
      <alignment horizontal="left"/>
    </xf>
    <xf numFmtId="0" fontId="1" fillId="18" borderId="0" xfId="0" applyFont="1" applyFill="1" applyAlignment="1">
      <alignment horizontal="left"/>
    </xf>
    <xf numFmtId="0" fontId="1" fillId="20" borderId="0" xfId="0" applyFont="1" applyFill="1" applyAlignment="1">
      <alignment horizontal="left"/>
    </xf>
    <xf numFmtId="0" fontId="1" fillId="21" borderId="0" xfId="0" applyFont="1" applyFill="1" applyAlignment="1">
      <alignment horizontal="left"/>
    </xf>
    <xf numFmtId="0" fontId="1" fillId="19" borderId="0" xfId="0" applyFont="1" applyFill="1" applyAlignment="1">
      <alignment horizontal="left"/>
    </xf>
    <xf numFmtId="0" fontId="18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164" fontId="3" fillId="6" borderId="0" xfId="0" applyNumberFormat="1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20" fontId="1" fillId="0" borderId="0" xfId="0" applyNumberFormat="1" applyFont="1"/>
    <xf numFmtId="0" fontId="4" fillId="0" borderId="0" xfId="0" applyFont="1" applyAlignment="1">
      <alignment horizontal="center"/>
    </xf>
    <xf numFmtId="0" fontId="0" fillId="20" borderId="0" xfId="0" applyFill="1"/>
    <xf numFmtId="0" fontId="1" fillId="20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11" borderId="0" xfId="0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11" fillId="17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0" fillId="2" borderId="0" xfId="0" applyFill="1"/>
    <xf numFmtId="0" fontId="22" fillId="2" borderId="0" xfId="1" applyFont="1" applyFill="1" applyAlignment="1">
      <alignment horizontal="center" vertical="center"/>
    </xf>
    <xf numFmtId="0" fontId="8" fillId="11" borderId="0" xfId="1" applyFill="1" applyAlignment="1">
      <alignment horizontal="center"/>
    </xf>
    <xf numFmtId="0" fontId="0" fillId="23" borderId="6" xfId="0" applyFill="1" applyBorder="1"/>
    <xf numFmtId="0" fontId="0" fillId="23" borderId="7" xfId="0" applyFill="1" applyBorder="1"/>
    <xf numFmtId="0" fontId="21" fillId="17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4" fontId="0" fillId="0" borderId="0" xfId="0" applyNumberFormat="1"/>
    <xf numFmtId="164" fontId="3" fillId="6" borderId="0" xfId="0" applyNumberFormat="1" applyFont="1" applyFill="1"/>
    <xf numFmtId="0" fontId="3" fillId="24" borderId="0" xfId="0" applyFont="1" applyFill="1"/>
    <xf numFmtId="164" fontId="3" fillId="24" borderId="0" xfId="0" applyNumberFormat="1" applyFont="1" applyFill="1"/>
    <xf numFmtId="164" fontId="1" fillId="13" borderId="0" xfId="0" applyNumberFormat="1" applyFont="1" applyFill="1"/>
    <xf numFmtId="0" fontId="1" fillId="13" borderId="0" xfId="0" applyFont="1" applyFill="1"/>
    <xf numFmtId="9" fontId="0" fillId="0" borderId="0" xfId="0" applyNumberFormat="1"/>
    <xf numFmtId="9" fontId="0" fillId="13" borderId="0" xfId="0" applyNumberFormat="1" applyFill="1"/>
    <xf numFmtId="0" fontId="20" fillId="1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17" fillId="25" borderId="8" xfId="0" applyFont="1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1" fillId="25" borderId="8" xfId="0" applyFont="1" applyFill="1" applyBorder="1"/>
    <xf numFmtId="0" fontId="0" fillId="25" borderId="8" xfId="0" applyFill="1" applyBorder="1"/>
    <xf numFmtId="18" fontId="0" fillId="25" borderId="8" xfId="0" applyNumberFormat="1" applyFill="1" applyBorder="1"/>
    <xf numFmtId="0" fontId="19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left" vertical="center"/>
    </xf>
    <xf numFmtId="0" fontId="11" fillId="17" borderId="0" xfId="0" applyFont="1" applyFill="1" applyAlignment="1">
      <alignment horizontal="left"/>
    </xf>
    <xf numFmtId="16" fontId="0" fillId="0" borderId="1" xfId="0" applyNumberFormat="1" applyBorder="1" applyAlignment="1">
      <alignment horizontal="center"/>
    </xf>
    <xf numFmtId="0" fontId="1" fillId="0" borderId="8" xfId="0" applyFont="1" applyBorder="1"/>
    <xf numFmtId="0" fontId="0" fillId="0" borderId="8" xfId="0" applyBorder="1"/>
    <xf numFmtId="18" fontId="0" fillId="0" borderId="8" xfId="0" applyNumberFormat="1" applyBorder="1"/>
    <xf numFmtId="0" fontId="1" fillId="18" borderId="0" xfId="0" applyFont="1" applyFill="1"/>
    <xf numFmtId="0" fontId="1" fillId="18" borderId="0" xfId="0" applyFont="1" applyFill="1" applyAlignment="1">
      <alignment horizontal="center"/>
    </xf>
    <xf numFmtId="166" fontId="1" fillId="18" borderId="0" xfId="0" applyNumberFormat="1" applyFont="1" applyFill="1" applyAlignment="1">
      <alignment horizontal="center"/>
    </xf>
    <xf numFmtId="0" fontId="1" fillId="12" borderId="0" xfId="0" applyFont="1" applyFill="1"/>
    <xf numFmtId="166" fontId="1" fillId="12" borderId="0" xfId="0" applyNumberFormat="1" applyFont="1" applyFill="1"/>
    <xf numFmtId="167" fontId="0" fillId="0" borderId="0" xfId="0" applyNumberFormat="1"/>
    <xf numFmtId="166" fontId="1" fillId="13" borderId="0" xfId="0" applyNumberFormat="1" applyFont="1" applyFill="1"/>
    <xf numFmtId="0" fontId="8" fillId="0" borderId="0" xfId="1"/>
    <xf numFmtId="0" fontId="8" fillId="5" borderId="1" xfId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6" borderId="0" xfId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0" fillId="7" borderId="2" xfId="0" applyFill="1" applyBorder="1"/>
    <xf numFmtId="0" fontId="0" fillId="0" borderId="2" xfId="0" applyBorder="1"/>
    <xf numFmtId="0" fontId="0" fillId="7" borderId="0" xfId="0" applyFill="1"/>
    <xf numFmtId="0" fontId="0" fillId="0" borderId="0" xfId="0"/>
    <xf numFmtId="0" fontId="12" fillId="3" borderId="0" xfId="0" applyFont="1" applyFill="1" applyAlignment="1">
      <alignment horizontal="left" vertical="center"/>
    </xf>
    <xf numFmtId="0" fontId="0" fillId="7" borderId="4" xfId="0" applyFill="1" applyBorder="1"/>
    <xf numFmtId="0" fontId="0" fillId="7" borderId="3" xfId="0" applyFill="1" applyBorder="1"/>
    <xf numFmtId="0" fontId="12" fillId="8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32" fillId="26" borderId="0" xfId="0" applyFont="1" applyFill="1" applyAlignment="1">
      <alignment horizontal="left" vertical="center"/>
    </xf>
    <xf numFmtId="0" fontId="31" fillId="26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8" fillId="11" borderId="0" xfId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17" borderId="0" xfId="0" applyFont="1" applyFill="1" applyAlignment="1">
      <alignment horizontal="center"/>
    </xf>
    <xf numFmtId="0" fontId="16" fillId="22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7" borderId="1" xfId="0" applyFill="1" applyBorder="1"/>
    <xf numFmtId="0" fontId="0" fillId="0" borderId="1" xfId="0" applyBorder="1"/>
    <xf numFmtId="0" fontId="3" fillId="6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17" fillId="18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8" fillId="2" borderId="0" xfId="1" applyFont="1" applyFill="1" applyAlignment="1">
      <alignment horizontal="center" vertical="center"/>
    </xf>
    <xf numFmtId="0" fontId="29" fillId="2" borderId="0" xfId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23" borderId="0" xfId="0" applyFont="1" applyFill="1" applyAlignment="1">
      <alignment horizontal="right" vertical="center"/>
    </xf>
    <xf numFmtId="0" fontId="24" fillId="23" borderId="0" xfId="0" applyFont="1" applyFill="1" applyAlignment="1">
      <alignment horizontal="center"/>
    </xf>
    <xf numFmtId="0" fontId="25" fillId="23" borderId="0" xfId="0" applyFont="1" applyFill="1"/>
    <xf numFmtId="0" fontId="0" fillId="23" borderId="5" xfId="0" applyFill="1" applyBorder="1"/>
    <xf numFmtId="0" fontId="26" fillId="23" borderId="0" xfId="0" applyFont="1" applyFill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18" fontId="1" fillId="17" borderId="1" xfId="0" applyNumberFormat="1" applyFont="1" applyFill="1" applyBorder="1"/>
    <xf numFmtId="0" fontId="0" fillId="0" borderId="1" xfId="0" applyFill="1" applyBorder="1"/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9EA4-1F09-45DB-8176-328DA5A5790C}">
  <sheetPr codeName="Sheet1"/>
  <dimension ref="A1:V370"/>
  <sheetViews>
    <sheetView showGridLines="0" topLeftCell="A37" workbookViewId="0"/>
  </sheetViews>
  <sheetFormatPr defaultRowHeight="14.4" x14ac:dyDescent="0.3"/>
  <cols>
    <col min="1" max="1" width="3.77734375" customWidth="1"/>
    <col min="2" max="22" width="11.77734375" customWidth="1"/>
  </cols>
  <sheetData>
    <row r="1" spans="1:22" ht="34.950000000000003" customHeight="1" x14ac:dyDescent="0.3">
      <c r="B1" s="115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ht="34.950000000000003" customHeight="1" x14ac:dyDescent="0.3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1:22" ht="34.950000000000003" customHeight="1" x14ac:dyDescent="0.3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1:22" ht="24" customHeight="1" x14ac:dyDescent="0.3">
      <c r="B4" s="117" t="str">
        <f ca="1">"📅 " &amp; TEXT(TODAY(),"dddd, dd mmm yyyy") &amp; "   |   ⏰ " &amp; TEXT(NOW(),"hh:mm AM/PM") &amp; "   |   📊 61 Sheets   |   🔥 12 Day Streak   |   ⭐ A+"</f>
        <v>📅 Friday, 09 Oct 2026   |   ⏰ 01:28 AM   |   📊 61 Sheets   |   🔥 12 Day Streak   |   ⭐ A+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</row>
    <row r="6" spans="1:22" ht="28.05" customHeight="1" x14ac:dyDescent="0.35">
      <c r="B6" s="119" t="s">
        <v>1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</row>
    <row r="7" spans="1:22" x14ac:dyDescent="0.3">
      <c r="B7" s="120"/>
      <c r="C7" s="121"/>
      <c r="D7" s="121"/>
      <c r="E7" s="121"/>
      <c r="F7" s="121"/>
      <c r="G7" s="122" t="str">
        <f>HYPERLINK("#'"&amp;B7&amp;"'!A1","  GO  ▶")</f>
        <v xml:space="preserve">  GO  ▶</v>
      </c>
      <c r="H7" s="118"/>
    </row>
    <row r="8" spans="1:22" x14ac:dyDescent="0.3">
      <c r="B8" s="121"/>
      <c r="C8" s="121"/>
      <c r="D8" s="121"/>
      <c r="E8" s="121"/>
      <c r="F8" s="121"/>
      <c r="G8" s="118"/>
      <c r="H8" s="118"/>
    </row>
    <row r="10" spans="1:22" ht="25.95" customHeight="1" x14ac:dyDescent="0.3">
      <c r="A10" s="123" t="s">
        <v>62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</row>
    <row r="11" spans="1:22" x14ac:dyDescent="0.3">
      <c r="A11" s="112" t="s">
        <v>1203</v>
      </c>
    </row>
    <row r="12" spans="1:22" ht="28.05" customHeight="1" x14ac:dyDescent="0.3">
      <c r="B12" s="131" t="s">
        <v>63</v>
      </c>
      <c r="C12" s="125"/>
      <c r="D12" s="125"/>
      <c r="E12" s="125"/>
      <c r="F12" s="125"/>
      <c r="G12" s="125"/>
      <c r="H12" s="125"/>
      <c r="I12" s="126" t="s">
        <v>69</v>
      </c>
      <c r="J12" s="125"/>
      <c r="K12" s="125"/>
      <c r="L12" s="125"/>
      <c r="M12" s="125"/>
      <c r="N12" s="125"/>
      <c r="O12" s="125"/>
      <c r="P12" s="124" t="s">
        <v>81</v>
      </c>
      <c r="Q12" s="125"/>
      <c r="R12" s="125"/>
      <c r="S12" s="125"/>
      <c r="T12" s="125"/>
      <c r="U12" s="125"/>
      <c r="V12" s="125"/>
    </row>
    <row r="13" spans="1:22" ht="22.05" customHeight="1" x14ac:dyDescent="0.3">
      <c r="B13" s="113" t="s">
        <v>64</v>
      </c>
      <c r="C13" s="114"/>
      <c r="D13" s="114"/>
      <c r="E13" s="114"/>
      <c r="F13" s="114"/>
      <c r="G13" s="114"/>
      <c r="H13" s="114"/>
      <c r="I13" s="113" t="s">
        <v>70</v>
      </c>
      <c r="J13" s="114"/>
      <c r="K13" s="114"/>
      <c r="L13" s="114"/>
      <c r="M13" s="114"/>
      <c r="N13" s="114"/>
      <c r="O13" s="114"/>
      <c r="P13" s="113" t="s">
        <v>82</v>
      </c>
      <c r="Q13" s="114"/>
      <c r="R13" s="114"/>
      <c r="S13" s="114"/>
      <c r="T13" s="114"/>
      <c r="U13" s="114"/>
      <c r="V13" s="114"/>
    </row>
    <row r="14" spans="1:22" ht="22.05" customHeight="1" x14ac:dyDescent="0.3">
      <c r="B14" s="113" t="s">
        <v>65</v>
      </c>
      <c r="C14" s="114"/>
      <c r="D14" s="114"/>
      <c r="E14" s="114"/>
      <c r="F14" s="114"/>
      <c r="G14" s="114"/>
      <c r="H14" s="114"/>
      <c r="I14" s="113" t="s">
        <v>71</v>
      </c>
      <c r="J14" s="114"/>
      <c r="K14" s="114"/>
      <c r="L14" s="114"/>
      <c r="M14" s="114"/>
      <c r="N14" s="114"/>
      <c r="O14" s="114"/>
      <c r="P14" s="113" t="s">
        <v>83</v>
      </c>
      <c r="Q14" s="114"/>
      <c r="R14" s="114"/>
      <c r="S14" s="114"/>
      <c r="T14" s="114"/>
      <c r="U14" s="114"/>
      <c r="V14" s="114"/>
    </row>
    <row r="15" spans="1:22" ht="22.05" customHeight="1" x14ac:dyDescent="0.3">
      <c r="B15" s="113" t="s">
        <v>66</v>
      </c>
      <c r="C15" s="114"/>
      <c r="D15" s="114"/>
      <c r="E15" s="114"/>
      <c r="F15" s="114"/>
      <c r="G15" s="114"/>
      <c r="H15" s="114"/>
      <c r="I15" s="113" t="s">
        <v>72</v>
      </c>
      <c r="J15" s="114"/>
      <c r="K15" s="114"/>
      <c r="L15" s="114"/>
      <c r="M15" s="114"/>
      <c r="N15" s="114"/>
      <c r="O15" s="114"/>
      <c r="P15" s="113" t="s">
        <v>84</v>
      </c>
      <c r="Q15" s="114"/>
      <c r="R15" s="114"/>
      <c r="S15" s="114"/>
      <c r="T15" s="114"/>
      <c r="U15" s="114"/>
      <c r="V15" s="114"/>
    </row>
    <row r="16" spans="1:22" ht="22.05" customHeight="1" x14ac:dyDescent="0.3">
      <c r="B16" s="113" t="s">
        <v>67</v>
      </c>
      <c r="C16" s="114"/>
      <c r="D16" s="114"/>
      <c r="E16" s="114"/>
      <c r="F16" s="114"/>
      <c r="G16" s="114"/>
      <c r="H16" s="114"/>
      <c r="I16" s="113" t="s">
        <v>73</v>
      </c>
      <c r="J16" s="114"/>
      <c r="K16" s="114"/>
      <c r="L16" s="114"/>
      <c r="M16" s="114"/>
      <c r="N16" s="114"/>
      <c r="O16" s="114"/>
      <c r="P16" s="113" t="s">
        <v>85</v>
      </c>
      <c r="Q16" s="114"/>
      <c r="R16" s="114"/>
      <c r="S16" s="114"/>
      <c r="T16" s="114"/>
      <c r="U16" s="114"/>
      <c r="V16" s="114"/>
    </row>
    <row r="17" spans="2:22" ht="22.05" customHeight="1" x14ac:dyDescent="0.3">
      <c r="B17" s="113" t="s">
        <v>68</v>
      </c>
      <c r="C17" s="114"/>
      <c r="D17" s="114"/>
      <c r="E17" s="114"/>
      <c r="F17" s="114"/>
      <c r="G17" s="114"/>
      <c r="H17" s="114"/>
      <c r="I17" s="113" t="s">
        <v>74</v>
      </c>
      <c r="J17" s="114"/>
      <c r="K17" s="114"/>
      <c r="L17" s="114"/>
      <c r="M17" s="114"/>
      <c r="N17" s="114"/>
      <c r="O17" s="114"/>
      <c r="P17" s="113" t="s">
        <v>86</v>
      </c>
      <c r="Q17" s="114"/>
      <c r="R17" s="114"/>
      <c r="S17" s="114"/>
      <c r="T17" s="114"/>
      <c r="U17" s="114"/>
      <c r="V17" s="114"/>
    </row>
    <row r="18" spans="2:22" ht="22.05" customHeight="1" x14ac:dyDescent="0.3">
      <c r="B18" s="127"/>
      <c r="C18" s="128"/>
      <c r="D18" s="128"/>
      <c r="E18" s="128"/>
      <c r="F18" s="128"/>
      <c r="G18" s="128"/>
      <c r="H18" s="128"/>
      <c r="I18" s="113" t="s">
        <v>75</v>
      </c>
      <c r="J18" s="114"/>
      <c r="K18" s="114"/>
      <c r="L18" s="114"/>
      <c r="M18" s="114"/>
      <c r="N18" s="114"/>
      <c r="O18" s="114"/>
      <c r="P18" s="113" t="s">
        <v>87</v>
      </c>
      <c r="Q18" s="114"/>
      <c r="R18" s="114"/>
      <c r="S18" s="114"/>
      <c r="T18" s="114"/>
      <c r="U18" s="114"/>
      <c r="V18" s="114"/>
    </row>
    <row r="19" spans="2:22" ht="19.95" customHeight="1" x14ac:dyDescent="0.3">
      <c r="B19" s="129"/>
      <c r="C19" s="130"/>
      <c r="D19" s="130"/>
      <c r="E19" s="130"/>
      <c r="F19" s="130"/>
      <c r="G19" s="130"/>
      <c r="H19" s="130"/>
      <c r="I19" s="113" t="s">
        <v>76</v>
      </c>
      <c r="J19" s="114"/>
      <c r="K19" s="114"/>
      <c r="L19" s="114"/>
      <c r="M19" s="114"/>
      <c r="N19" s="114"/>
      <c r="O19" s="114"/>
      <c r="P19" s="132"/>
      <c r="Q19" s="128"/>
      <c r="R19" s="128"/>
      <c r="S19" s="128"/>
      <c r="T19" s="128"/>
      <c r="U19" s="128"/>
      <c r="V19" s="128"/>
    </row>
    <row r="20" spans="2:22" ht="19.95" customHeight="1" x14ac:dyDescent="0.3">
      <c r="B20" s="129"/>
      <c r="C20" s="130"/>
      <c r="D20" s="130"/>
      <c r="E20" s="130"/>
      <c r="F20" s="130"/>
      <c r="G20" s="130"/>
      <c r="H20" s="130"/>
      <c r="I20" s="113" t="s">
        <v>77</v>
      </c>
      <c r="J20" s="114"/>
      <c r="K20" s="114"/>
      <c r="L20" s="114"/>
      <c r="M20" s="114"/>
      <c r="N20" s="114"/>
      <c r="O20" s="114"/>
      <c r="P20" s="133"/>
      <c r="Q20" s="130"/>
      <c r="R20" s="130"/>
      <c r="S20" s="130"/>
      <c r="T20" s="130"/>
      <c r="U20" s="130"/>
      <c r="V20" s="130"/>
    </row>
    <row r="21" spans="2:22" ht="19.95" customHeight="1" x14ac:dyDescent="0.3">
      <c r="B21" s="129"/>
      <c r="C21" s="130"/>
      <c r="D21" s="130"/>
      <c r="E21" s="130"/>
      <c r="F21" s="130"/>
      <c r="G21" s="130"/>
      <c r="H21" s="130"/>
      <c r="I21" s="113" t="s">
        <v>78</v>
      </c>
      <c r="J21" s="114"/>
      <c r="K21" s="114"/>
      <c r="L21" s="114"/>
      <c r="M21" s="114"/>
      <c r="N21" s="114"/>
      <c r="O21" s="114"/>
      <c r="P21" s="133"/>
      <c r="Q21" s="130"/>
      <c r="R21" s="130"/>
      <c r="S21" s="130"/>
      <c r="T21" s="130"/>
      <c r="U21" s="130"/>
      <c r="V21" s="130"/>
    </row>
    <row r="22" spans="2:22" ht="19.95" customHeight="1" x14ac:dyDescent="0.3">
      <c r="B22" s="129"/>
      <c r="C22" s="130"/>
      <c r="D22" s="130"/>
      <c r="E22" s="130"/>
      <c r="F22" s="130"/>
      <c r="G22" s="130"/>
      <c r="H22" s="130"/>
      <c r="I22" s="113" t="s">
        <v>79</v>
      </c>
      <c r="J22" s="114"/>
      <c r="K22" s="114"/>
      <c r="L22" s="114"/>
      <c r="M22" s="114"/>
      <c r="N22" s="114"/>
      <c r="O22" s="114"/>
      <c r="P22" s="133"/>
      <c r="Q22" s="130"/>
      <c r="R22" s="130"/>
      <c r="S22" s="130"/>
      <c r="T22" s="130"/>
      <c r="U22" s="130"/>
      <c r="V22" s="130"/>
    </row>
    <row r="23" spans="2:22" ht="19.95" customHeight="1" x14ac:dyDescent="0.3">
      <c r="B23" s="129"/>
      <c r="C23" s="130"/>
      <c r="D23" s="130"/>
      <c r="E23" s="130"/>
      <c r="F23" s="130"/>
      <c r="G23" s="130"/>
      <c r="H23" s="130"/>
      <c r="I23" s="113" t="s">
        <v>80</v>
      </c>
      <c r="J23" s="114"/>
      <c r="K23" s="114"/>
      <c r="L23" s="114"/>
      <c r="M23" s="114"/>
      <c r="N23" s="114"/>
      <c r="O23" s="114"/>
      <c r="P23" s="133"/>
      <c r="Q23" s="130"/>
      <c r="R23" s="130"/>
      <c r="S23" s="130"/>
      <c r="T23" s="130"/>
      <c r="U23" s="130"/>
      <c r="V23" s="130"/>
    </row>
    <row r="24" spans="2:22" ht="19.95" customHeight="1" x14ac:dyDescent="0.3">
      <c r="B24" s="129"/>
      <c r="C24" s="130"/>
      <c r="D24" s="130"/>
      <c r="E24" s="130"/>
      <c r="F24" s="130"/>
      <c r="G24" s="130"/>
      <c r="H24" s="130"/>
      <c r="I24" s="127"/>
      <c r="J24" s="128"/>
      <c r="K24" s="128"/>
      <c r="L24" s="128"/>
      <c r="M24" s="128"/>
      <c r="N24" s="128"/>
      <c r="O24" s="128"/>
      <c r="P24" s="129"/>
      <c r="Q24" s="130"/>
      <c r="R24" s="130"/>
      <c r="S24" s="130"/>
      <c r="T24" s="130"/>
      <c r="U24" s="130"/>
      <c r="V24" s="130"/>
    </row>
    <row r="26" spans="2:22" ht="28.05" customHeight="1" x14ac:dyDescent="0.3">
      <c r="B26" s="134" t="s">
        <v>88</v>
      </c>
      <c r="C26" s="125"/>
      <c r="D26" s="125"/>
      <c r="E26" s="125"/>
      <c r="F26" s="125"/>
      <c r="G26" s="125"/>
      <c r="H26" s="125"/>
      <c r="I26" s="136" t="s">
        <v>94</v>
      </c>
      <c r="J26" s="137"/>
      <c r="K26" s="137"/>
      <c r="L26" s="137"/>
      <c r="M26" s="137"/>
      <c r="N26" s="137"/>
      <c r="O26" s="137"/>
      <c r="P26" s="135" t="s">
        <v>102</v>
      </c>
      <c r="Q26" s="125"/>
      <c r="R26" s="125"/>
      <c r="S26" s="125"/>
      <c r="T26" s="125"/>
      <c r="U26" s="125"/>
      <c r="V26" s="125"/>
    </row>
    <row r="27" spans="2:22" ht="22.05" customHeight="1" x14ac:dyDescent="0.3">
      <c r="B27" s="113" t="s">
        <v>89</v>
      </c>
      <c r="C27" s="114"/>
      <c r="D27" s="114"/>
      <c r="E27" s="114"/>
      <c r="F27" s="114"/>
      <c r="G27" s="114"/>
      <c r="H27" s="114"/>
      <c r="I27" s="113" t="s">
        <v>95</v>
      </c>
      <c r="J27" s="114"/>
      <c r="K27" s="114"/>
      <c r="L27" s="114"/>
      <c r="M27" s="114"/>
      <c r="N27" s="114"/>
      <c r="O27" s="114"/>
      <c r="P27" s="113" t="s">
        <v>103</v>
      </c>
      <c r="Q27" s="114"/>
      <c r="R27" s="114"/>
      <c r="S27" s="114"/>
      <c r="T27" s="114"/>
      <c r="U27" s="114"/>
      <c r="V27" s="114"/>
    </row>
    <row r="28" spans="2:22" ht="22.05" customHeight="1" x14ac:dyDescent="0.3">
      <c r="B28" s="113" t="s">
        <v>90</v>
      </c>
      <c r="C28" s="114"/>
      <c r="D28" s="114"/>
      <c r="E28" s="114"/>
      <c r="F28" s="114"/>
      <c r="G28" s="114"/>
      <c r="H28" s="114"/>
      <c r="I28" s="113" t="s">
        <v>96</v>
      </c>
      <c r="J28" s="114"/>
      <c r="K28" s="114"/>
      <c r="L28" s="114"/>
      <c r="M28" s="114"/>
      <c r="N28" s="114"/>
      <c r="O28" s="114"/>
      <c r="P28" s="113" t="s">
        <v>104</v>
      </c>
      <c r="Q28" s="114"/>
      <c r="R28" s="114"/>
      <c r="S28" s="114"/>
      <c r="T28" s="114"/>
      <c r="U28" s="114"/>
      <c r="V28" s="114"/>
    </row>
    <row r="29" spans="2:22" ht="22.05" customHeight="1" x14ac:dyDescent="0.3">
      <c r="B29" s="113" t="s">
        <v>91</v>
      </c>
      <c r="C29" s="114"/>
      <c r="D29" s="114"/>
      <c r="E29" s="114"/>
      <c r="F29" s="114"/>
      <c r="G29" s="114"/>
      <c r="H29" s="114"/>
      <c r="I29" s="113" t="s">
        <v>97</v>
      </c>
      <c r="J29" s="114"/>
      <c r="K29" s="114"/>
      <c r="L29" s="114"/>
      <c r="M29" s="114"/>
      <c r="N29" s="114"/>
      <c r="O29" s="114"/>
      <c r="P29" s="113" t="s">
        <v>105</v>
      </c>
      <c r="Q29" s="114"/>
      <c r="R29" s="114"/>
      <c r="S29" s="114"/>
      <c r="T29" s="114"/>
      <c r="U29" s="114"/>
      <c r="V29" s="114"/>
    </row>
    <row r="30" spans="2:22" ht="22.05" customHeight="1" x14ac:dyDescent="0.3">
      <c r="B30" s="113" t="s">
        <v>92</v>
      </c>
      <c r="C30" s="114"/>
      <c r="D30" s="114"/>
      <c r="E30" s="114"/>
      <c r="F30" s="114"/>
      <c r="G30" s="114"/>
      <c r="H30" s="114"/>
      <c r="I30" s="113" t="s">
        <v>98</v>
      </c>
      <c r="J30" s="114"/>
      <c r="K30" s="114"/>
      <c r="L30" s="114"/>
      <c r="M30" s="114"/>
      <c r="N30" s="114"/>
      <c r="O30" s="114"/>
      <c r="P30" s="113" t="s">
        <v>106</v>
      </c>
      <c r="Q30" s="114"/>
      <c r="R30" s="114"/>
      <c r="S30" s="114"/>
      <c r="T30" s="114"/>
      <c r="U30" s="114"/>
      <c r="V30" s="114"/>
    </row>
    <row r="31" spans="2:22" ht="19.95" customHeight="1" x14ac:dyDescent="0.3">
      <c r="B31" s="113" t="s">
        <v>93</v>
      </c>
      <c r="C31" s="114"/>
      <c r="D31" s="114"/>
      <c r="E31" s="114"/>
      <c r="F31" s="114"/>
      <c r="G31" s="114"/>
      <c r="H31" s="114"/>
      <c r="I31" s="113" t="s">
        <v>99</v>
      </c>
      <c r="J31" s="114"/>
      <c r="K31" s="114"/>
      <c r="L31" s="114"/>
      <c r="M31" s="114"/>
      <c r="N31" s="114"/>
      <c r="O31" s="114"/>
      <c r="P31" s="132"/>
      <c r="Q31" s="128"/>
      <c r="R31" s="128"/>
      <c r="S31" s="128"/>
      <c r="T31" s="128"/>
      <c r="U31" s="128"/>
      <c r="V31" s="128"/>
    </row>
    <row r="32" spans="2:22" ht="19.95" customHeight="1" x14ac:dyDescent="0.3">
      <c r="B32" s="127"/>
      <c r="C32" s="128"/>
      <c r="D32" s="128"/>
      <c r="E32" s="128"/>
      <c r="F32" s="128"/>
      <c r="G32" s="128"/>
      <c r="H32" s="128"/>
      <c r="I32" s="113" t="s">
        <v>100</v>
      </c>
      <c r="J32" s="114"/>
      <c r="K32" s="114"/>
      <c r="L32" s="114"/>
      <c r="M32" s="114"/>
      <c r="N32" s="114"/>
      <c r="O32" s="114"/>
      <c r="P32" s="133"/>
      <c r="Q32" s="130"/>
      <c r="R32" s="130"/>
      <c r="S32" s="130"/>
      <c r="T32" s="130"/>
      <c r="U32" s="130"/>
      <c r="V32" s="130"/>
    </row>
    <row r="33" spans="2:22" ht="19.95" customHeight="1" x14ac:dyDescent="0.3">
      <c r="B33" s="129"/>
      <c r="C33" s="130"/>
      <c r="D33" s="130"/>
      <c r="E33" s="130"/>
      <c r="F33" s="130"/>
      <c r="G33" s="130"/>
      <c r="H33" s="130"/>
      <c r="I33" s="113" t="s">
        <v>101</v>
      </c>
      <c r="J33" s="114"/>
      <c r="K33" s="114"/>
      <c r="L33" s="114"/>
      <c r="M33" s="114"/>
      <c r="N33" s="114"/>
      <c r="O33" s="114"/>
      <c r="P33" s="133"/>
      <c r="Q33" s="130"/>
      <c r="R33" s="130"/>
      <c r="S33" s="130"/>
      <c r="T33" s="130"/>
      <c r="U33" s="130"/>
      <c r="V33" s="130"/>
    </row>
    <row r="34" spans="2:22" ht="19.95" customHeight="1" x14ac:dyDescent="0.3">
      <c r="B34" s="129"/>
      <c r="C34" s="130"/>
      <c r="D34" s="130"/>
      <c r="E34" s="130"/>
      <c r="F34" s="130"/>
      <c r="G34" s="130"/>
      <c r="H34" s="130"/>
      <c r="I34" s="127"/>
      <c r="J34" s="128"/>
      <c r="K34" s="128"/>
      <c r="L34" s="128"/>
      <c r="M34" s="128"/>
      <c r="N34" s="128"/>
      <c r="O34" s="128"/>
      <c r="P34" s="129"/>
      <c r="Q34" s="130"/>
      <c r="R34" s="130"/>
      <c r="S34" s="130"/>
      <c r="T34" s="130"/>
      <c r="U34" s="130"/>
      <c r="V34" s="130"/>
    </row>
    <row r="35" spans="2:22" ht="19.95" customHeight="1" x14ac:dyDescent="0.3">
      <c r="B35" s="129"/>
      <c r="C35" s="130"/>
      <c r="D35" s="130"/>
      <c r="E35" s="130"/>
      <c r="F35" s="130"/>
      <c r="G35" s="130"/>
      <c r="H35" s="130"/>
      <c r="I35" s="129"/>
      <c r="J35" s="130"/>
      <c r="K35" s="130"/>
      <c r="L35" s="130"/>
      <c r="M35" s="130"/>
      <c r="N35" s="130"/>
      <c r="O35" s="130"/>
      <c r="P35" s="129"/>
      <c r="Q35" s="130"/>
      <c r="R35" s="130"/>
      <c r="S35" s="130"/>
      <c r="T35" s="130"/>
      <c r="U35" s="130"/>
      <c r="V35" s="130"/>
    </row>
    <row r="36" spans="2:22" ht="19.95" customHeight="1" x14ac:dyDescent="0.3">
      <c r="B36" s="129"/>
      <c r="C36" s="130"/>
      <c r="D36" s="130"/>
      <c r="E36" s="130"/>
      <c r="F36" s="130"/>
      <c r="G36" s="130"/>
      <c r="H36" s="130"/>
      <c r="I36" s="129"/>
      <c r="J36" s="130"/>
      <c r="K36" s="130"/>
      <c r="L36" s="130"/>
      <c r="M36" s="130"/>
      <c r="N36" s="130"/>
      <c r="O36" s="130"/>
      <c r="P36" s="129"/>
      <c r="Q36" s="130"/>
      <c r="R36" s="130"/>
      <c r="S36" s="130"/>
      <c r="T36" s="130"/>
      <c r="U36" s="130"/>
      <c r="V36" s="130"/>
    </row>
    <row r="37" spans="2:22" ht="19.95" customHeight="1" x14ac:dyDescent="0.3">
      <c r="B37" s="129"/>
      <c r="C37" s="130"/>
      <c r="D37" s="130"/>
      <c r="E37" s="130"/>
      <c r="F37" s="130"/>
      <c r="G37" s="130"/>
      <c r="H37" s="130"/>
      <c r="I37" s="129"/>
      <c r="J37" s="130"/>
      <c r="K37" s="130"/>
      <c r="L37" s="130"/>
      <c r="M37" s="130"/>
      <c r="N37" s="130"/>
      <c r="O37" s="130"/>
      <c r="P37" s="129"/>
      <c r="Q37" s="130"/>
      <c r="R37" s="130"/>
      <c r="S37" s="130"/>
      <c r="T37" s="130"/>
      <c r="U37" s="130"/>
      <c r="V37" s="130"/>
    </row>
    <row r="38" spans="2:22" ht="19.95" customHeight="1" x14ac:dyDescent="0.3">
      <c r="B38" s="129"/>
      <c r="C38" s="130"/>
      <c r="D38" s="130"/>
      <c r="E38" s="130"/>
      <c r="F38" s="130"/>
      <c r="G38" s="130"/>
      <c r="H38" s="130"/>
      <c r="I38" s="129"/>
      <c r="J38" s="130"/>
      <c r="K38" s="130"/>
      <c r="L38" s="130"/>
      <c r="M38" s="130"/>
      <c r="N38" s="130"/>
      <c r="O38" s="130"/>
      <c r="P38" s="129"/>
      <c r="Q38" s="130"/>
      <c r="R38" s="130"/>
      <c r="S38" s="130"/>
      <c r="T38" s="130"/>
      <c r="U38" s="130"/>
      <c r="V38" s="130"/>
    </row>
    <row r="40" spans="2:22" ht="28.05" customHeight="1" x14ac:dyDescent="0.3">
      <c r="B40" s="124" t="s">
        <v>107</v>
      </c>
      <c r="C40" s="125"/>
      <c r="D40" s="125"/>
      <c r="E40" s="125"/>
      <c r="F40" s="125"/>
      <c r="G40" s="125"/>
      <c r="H40" s="125"/>
      <c r="I40" s="138" t="s">
        <v>114</v>
      </c>
      <c r="J40" s="125"/>
      <c r="K40" s="125"/>
      <c r="L40" s="125"/>
      <c r="M40" s="125"/>
      <c r="N40" s="125"/>
      <c r="O40" s="125"/>
      <c r="P40" s="126" t="s">
        <v>119</v>
      </c>
      <c r="Q40" s="125"/>
      <c r="R40" s="125"/>
      <c r="S40" s="125"/>
      <c r="T40" s="125"/>
      <c r="U40" s="125"/>
      <c r="V40" s="125"/>
    </row>
    <row r="41" spans="2:22" ht="22.05" customHeight="1" x14ac:dyDescent="0.3">
      <c r="B41" s="113" t="s">
        <v>108</v>
      </c>
      <c r="C41" s="114"/>
      <c r="D41" s="114"/>
      <c r="E41" s="114"/>
      <c r="F41" s="114"/>
      <c r="G41" s="114"/>
      <c r="H41" s="114"/>
      <c r="I41" s="113" t="s">
        <v>115</v>
      </c>
      <c r="J41" s="114"/>
      <c r="K41" s="114"/>
      <c r="L41" s="114"/>
      <c r="M41" s="114"/>
      <c r="N41" s="114"/>
      <c r="O41" s="114"/>
      <c r="P41" s="113" t="s">
        <v>120</v>
      </c>
      <c r="Q41" s="114"/>
      <c r="R41" s="114"/>
      <c r="S41" s="114"/>
      <c r="T41" s="114"/>
      <c r="U41" s="114"/>
      <c r="V41" s="114"/>
    </row>
    <row r="42" spans="2:22" ht="22.05" customHeight="1" x14ac:dyDescent="0.3">
      <c r="B42" s="113" t="s">
        <v>109</v>
      </c>
      <c r="C42" s="114"/>
      <c r="D42" s="114"/>
      <c r="E42" s="114"/>
      <c r="F42" s="114"/>
      <c r="G42" s="114"/>
      <c r="H42" s="114"/>
      <c r="I42" s="113" t="s">
        <v>116</v>
      </c>
      <c r="J42" s="114"/>
      <c r="K42" s="114"/>
      <c r="L42" s="114"/>
      <c r="M42" s="114"/>
      <c r="N42" s="114"/>
      <c r="O42" s="114"/>
      <c r="P42" s="113" t="s">
        <v>121</v>
      </c>
      <c r="Q42" s="114"/>
      <c r="R42" s="114"/>
      <c r="S42" s="114"/>
      <c r="T42" s="114"/>
      <c r="U42" s="114"/>
      <c r="V42" s="114"/>
    </row>
    <row r="43" spans="2:22" ht="22.05" customHeight="1" x14ac:dyDescent="0.3">
      <c r="B43" s="113" t="s">
        <v>110</v>
      </c>
      <c r="C43" s="114"/>
      <c r="D43" s="114"/>
      <c r="E43" s="114"/>
      <c r="F43" s="114"/>
      <c r="G43" s="114"/>
      <c r="H43" s="114"/>
      <c r="I43" s="113" t="s">
        <v>117</v>
      </c>
      <c r="J43" s="114"/>
      <c r="K43" s="114"/>
      <c r="L43" s="114"/>
      <c r="M43" s="114"/>
      <c r="N43" s="114"/>
      <c r="O43" s="114"/>
      <c r="P43" s="113" t="s">
        <v>122</v>
      </c>
      <c r="Q43" s="114"/>
      <c r="R43" s="114"/>
      <c r="S43" s="114"/>
      <c r="T43" s="114"/>
      <c r="U43" s="114"/>
      <c r="V43" s="114"/>
    </row>
    <row r="44" spans="2:22" ht="22.05" customHeight="1" x14ac:dyDescent="0.3">
      <c r="B44" s="113" t="s">
        <v>111</v>
      </c>
      <c r="C44" s="114"/>
      <c r="D44" s="114"/>
      <c r="E44" s="114"/>
      <c r="F44" s="114"/>
      <c r="G44" s="114"/>
      <c r="H44" s="114"/>
      <c r="I44" s="113" t="s">
        <v>118</v>
      </c>
      <c r="J44" s="114"/>
      <c r="K44" s="114"/>
      <c r="L44" s="114"/>
      <c r="M44" s="114"/>
      <c r="N44" s="114"/>
      <c r="O44" s="114"/>
      <c r="P44" s="113" t="s">
        <v>123</v>
      </c>
      <c r="Q44" s="114"/>
      <c r="R44" s="114"/>
      <c r="S44" s="114"/>
      <c r="T44" s="114"/>
      <c r="U44" s="114"/>
      <c r="V44" s="114"/>
    </row>
    <row r="45" spans="2:22" ht="22.05" customHeight="1" x14ac:dyDescent="0.3">
      <c r="B45" s="113" t="s">
        <v>112</v>
      </c>
      <c r="C45" s="114"/>
      <c r="D45" s="114"/>
      <c r="E45" s="114"/>
      <c r="F45" s="114"/>
      <c r="G45" s="114"/>
      <c r="H45" s="114"/>
      <c r="I45" s="132"/>
      <c r="J45" s="128"/>
      <c r="K45" s="128"/>
      <c r="L45" s="128"/>
      <c r="M45" s="128"/>
      <c r="N45" s="128"/>
      <c r="O45" s="128"/>
      <c r="P45" s="113" t="s">
        <v>124</v>
      </c>
      <c r="Q45" s="114"/>
      <c r="R45" s="114"/>
      <c r="S45" s="114"/>
      <c r="T45" s="114"/>
      <c r="U45" s="114"/>
      <c r="V45" s="114"/>
    </row>
    <row r="46" spans="2:22" ht="19.95" customHeight="1" x14ac:dyDescent="0.3">
      <c r="B46" s="113" t="s">
        <v>113</v>
      </c>
      <c r="C46" s="114"/>
      <c r="D46" s="114"/>
      <c r="E46" s="114"/>
      <c r="F46" s="114"/>
      <c r="G46" s="114"/>
      <c r="H46" s="114"/>
      <c r="I46" s="133"/>
      <c r="J46" s="130"/>
      <c r="K46" s="130"/>
      <c r="L46" s="130"/>
      <c r="M46" s="130"/>
      <c r="N46" s="130"/>
      <c r="O46" s="130"/>
      <c r="P46" s="127"/>
      <c r="Q46" s="128"/>
      <c r="R46" s="128"/>
      <c r="S46" s="128"/>
      <c r="T46" s="128"/>
      <c r="U46" s="128"/>
      <c r="V46" s="128"/>
    </row>
    <row r="47" spans="2:22" ht="19.95" customHeight="1" x14ac:dyDescent="0.3">
      <c r="B47" s="127"/>
      <c r="C47" s="128"/>
      <c r="D47" s="128"/>
      <c r="E47" s="128"/>
      <c r="F47" s="128"/>
      <c r="G47" s="128"/>
      <c r="H47" s="128"/>
      <c r="I47" s="129"/>
      <c r="J47" s="130"/>
      <c r="K47" s="130"/>
      <c r="L47" s="130"/>
      <c r="M47" s="130"/>
      <c r="N47" s="130"/>
      <c r="O47" s="130"/>
      <c r="P47" s="129"/>
      <c r="Q47" s="130"/>
      <c r="R47" s="130"/>
      <c r="S47" s="130"/>
      <c r="T47" s="130"/>
      <c r="U47" s="130"/>
      <c r="V47" s="130"/>
    </row>
    <row r="48" spans="2:22" ht="19.95" customHeight="1" x14ac:dyDescent="0.3">
      <c r="B48" s="129"/>
      <c r="C48" s="130"/>
      <c r="D48" s="130"/>
      <c r="E48" s="130"/>
      <c r="F48" s="130"/>
      <c r="G48" s="130"/>
      <c r="H48" s="130"/>
      <c r="I48" s="129"/>
      <c r="J48" s="130"/>
      <c r="K48" s="130"/>
      <c r="L48" s="130"/>
      <c r="M48" s="130"/>
      <c r="N48" s="130"/>
      <c r="O48" s="130"/>
      <c r="P48" s="129"/>
      <c r="Q48" s="130"/>
      <c r="R48" s="130"/>
      <c r="S48" s="130"/>
      <c r="T48" s="130"/>
      <c r="U48" s="130"/>
      <c r="V48" s="130"/>
    </row>
    <row r="49" spans="2:22" ht="19.95" customHeight="1" x14ac:dyDescent="0.3">
      <c r="B49" s="129"/>
      <c r="C49" s="130"/>
      <c r="D49" s="130"/>
      <c r="E49" s="130"/>
      <c r="F49" s="130"/>
      <c r="G49" s="130"/>
      <c r="H49" s="130"/>
      <c r="I49" s="129"/>
      <c r="J49" s="130"/>
      <c r="K49" s="130"/>
      <c r="L49" s="130"/>
      <c r="M49" s="130"/>
      <c r="N49" s="130"/>
      <c r="O49" s="130"/>
      <c r="P49" s="129"/>
      <c r="Q49" s="130"/>
      <c r="R49" s="130"/>
      <c r="S49" s="130"/>
      <c r="T49" s="130"/>
      <c r="U49" s="130"/>
      <c r="V49" s="130"/>
    </row>
    <row r="50" spans="2:22" ht="19.95" customHeight="1" x14ac:dyDescent="0.3">
      <c r="B50" s="129"/>
      <c r="C50" s="130"/>
      <c r="D50" s="130"/>
      <c r="E50" s="130"/>
      <c r="F50" s="130"/>
      <c r="G50" s="130"/>
      <c r="H50" s="130"/>
      <c r="I50" s="129"/>
      <c r="J50" s="130"/>
      <c r="K50" s="130"/>
      <c r="L50" s="130"/>
      <c r="M50" s="130"/>
      <c r="N50" s="130"/>
      <c r="O50" s="130"/>
      <c r="P50" s="129"/>
      <c r="Q50" s="130"/>
      <c r="R50" s="130"/>
      <c r="S50" s="130"/>
      <c r="T50" s="130"/>
      <c r="U50" s="130"/>
      <c r="V50" s="130"/>
    </row>
    <row r="51" spans="2:22" ht="19.95" customHeight="1" x14ac:dyDescent="0.3">
      <c r="B51" s="129"/>
      <c r="C51" s="130"/>
      <c r="D51" s="130"/>
      <c r="E51" s="130"/>
      <c r="F51" s="130"/>
      <c r="G51" s="130"/>
      <c r="H51" s="130"/>
      <c r="I51" s="129"/>
      <c r="J51" s="130"/>
      <c r="K51" s="130"/>
      <c r="L51" s="130"/>
      <c r="M51" s="130"/>
      <c r="N51" s="130"/>
      <c r="O51" s="130"/>
      <c r="P51" s="129"/>
      <c r="Q51" s="130"/>
      <c r="R51" s="130"/>
      <c r="S51" s="130"/>
      <c r="T51" s="130"/>
      <c r="U51" s="130"/>
      <c r="V51" s="130"/>
    </row>
    <row r="52" spans="2:22" ht="19.95" customHeight="1" x14ac:dyDescent="0.3">
      <c r="B52" s="129"/>
      <c r="C52" s="130"/>
      <c r="D52" s="130"/>
      <c r="E52" s="130"/>
      <c r="F52" s="130"/>
      <c r="G52" s="130"/>
      <c r="H52" s="130"/>
      <c r="I52" s="129"/>
      <c r="J52" s="130"/>
      <c r="K52" s="130"/>
      <c r="L52" s="130"/>
      <c r="M52" s="130"/>
      <c r="N52" s="130"/>
      <c r="O52" s="130"/>
      <c r="P52" s="129"/>
      <c r="Q52" s="130"/>
      <c r="R52" s="130"/>
      <c r="S52" s="130"/>
      <c r="T52" s="130"/>
      <c r="U52" s="130"/>
      <c r="V52" s="130"/>
    </row>
    <row r="54" spans="2:22" ht="28.05" customHeight="1" x14ac:dyDescent="0.3">
      <c r="B54" s="134" t="s">
        <v>125</v>
      </c>
      <c r="C54" s="125"/>
      <c r="D54" s="125"/>
      <c r="E54" s="125"/>
      <c r="F54" s="125"/>
      <c r="G54" s="125"/>
      <c r="H54" s="125"/>
      <c r="I54" s="139" t="s">
        <v>131</v>
      </c>
      <c r="J54" s="125"/>
      <c r="K54" s="125"/>
      <c r="L54" s="125"/>
      <c r="M54" s="125"/>
      <c r="N54" s="125"/>
      <c r="O54" s="125"/>
    </row>
    <row r="55" spans="2:22" ht="22.05" customHeight="1" x14ac:dyDescent="0.3">
      <c r="B55" s="113" t="s">
        <v>126</v>
      </c>
      <c r="C55" s="114"/>
      <c r="D55" s="114"/>
      <c r="E55" s="114"/>
      <c r="F55" s="114"/>
      <c r="G55" s="114"/>
      <c r="H55" s="114"/>
      <c r="I55" s="140" t="s">
        <v>132</v>
      </c>
      <c r="J55" s="114"/>
      <c r="K55" s="114"/>
      <c r="L55" s="114"/>
      <c r="M55" s="114"/>
      <c r="N55" s="114"/>
      <c r="O55" s="114"/>
    </row>
    <row r="56" spans="2:22" ht="22.05" customHeight="1" x14ac:dyDescent="0.3">
      <c r="B56" s="113" t="s">
        <v>127</v>
      </c>
      <c r="C56" s="114"/>
      <c r="D56" s="114"/>
      <c r="E56" s="114"/>
      <c r="F56" s="114"/>
      <c r="G56" s="114"/>
      <c r="H56" s="114"/>
      <c r="I56" s="140" t="s">
        <v>133</v>
      </c>
      <c r="J56" s="114"/>
      <c r="K56" s="114"/>
      <c r="L56" s="114"/>
      <c r="M56" s="114"/>
      <c r="N56" s="114"/>
      <c r="O56" s="114"/>
    </row>
    <row r="57" spans="2:22" ht="19.95" customHeight="1" x14ac:dyDescent="0.3">
      <c r="B57" s="113" t="s">
        <v>128</v>
      </c>
      <c r="C57" s="114"/>
      <c r="D57" s="114"/>
      <c r="E57" s="114"/>
      <c r="F57" s="114"/>
      <c r="G57" s="114"/>
      <c r="H57" s="114"/>
      <c r="I57" s="132"/>
      <c r="J57" s="128"/>
      <c r="K57" s="128"/>
      <c r="L57" s="128"/>
      <c r="M57" s="128"/>
      <c r="N57" s="128"/>
      <c r="O57" s="128"/>
    </row>
    <row r="58" spans="2:22" ht="19.95" customHeight="1" x14ac:dyDescent="0.3">
      <c r="B58" s="113" t="s">
        <v>129</v>
      </c>
      <c r="C58" s="114"/>
      <c r="D58" s="114"/>
      <c r="E58" s="114"/>
      <c r="F58" s="114"/>
      <c r="G58" s="114"/>
      <c r="H58" s="114"/>
      <c r="I58" s="133"/>
      <c r="J58" s="130"/>
      <c r="K58" s="130"/>
      <c r="L58" s="130"/>
      <c r="M58" s="130"/>
      <c r="N58" s="130"/>
      <c r="O58" s="130"/>
    </row>
    <row r="59" spans="2:22" ht="19.95" customHeight="1" x14ac:dyDescent="0.3">
      <c r="B59" s="113" t="s">
        <v>130</v>
      </c>
      <c r="C59" s="114"/>
      <c r="D59" s="114"/>
      <c r="E59" s="114"/>
      <c r="F59" s="114"/>
      <c r="G59" s="114"/>
      <c r="H59" s="114"/>
      <c r="I59" s="133"/>
      <c r="J59" s="130"/>
      <c r="K59" s="130"/>
      <c r="L59" s="130"/>
      <c r="M59" s="130"/>
      <c r="N59" s="130"/>
      <c r="O59" s="130"/>
    </row>
    <row r="60" spans="2:22" ht="22.05" customHeight="1" x14ac:dyDescent="0.3">
      <c r="B60" s="141" t="str">
        <f ca="1">"🏢 Life OS Enterprises | CEO: YOU | Build: " &amp; TEXT(NOW(),"dd-mmm-yyyy hh:mm") &amp; " | 61 Sheets | v5.0 SUPER"</f>
        <v>🏢 Life OS Enterprises | CEO: YOU | Build: 09-Oct-2026 01:28 | 61 Sheets | v5.0 SUPER</v>
      </c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</row>
    <row r="61" spans="2:22" ht="19.95" customHeight="1" x14ac:dyDescent="0.3">
      <c r="B61" s="129"/>
      <c r="C61" s="130"/>
      <c r="D61" s="130"/>
      <c r="E61" s="130"/>
      <c r="F61" s="130"/>
      <c r="G61" s="130"/>
      <c r="H61" s="130"/>
      <c r="I61" s="129"/>
      <c r="J61" s="130"/>
      <c r="K61" s="130"/>
      <c r="L61" s="130"/>
      <c r="M61" s="130"/>
      <c r="N61" s="130"/>
      <c r="O61" s="130"/>
    </row>
    <row r="62" spans="2:22" ht="19.95" customHeight="1" x14ac:dyDescent="0.3">
      <c r="B62" s="129"/>
      <c r="C62" s="130"/>
      <c r="D62" s="130"/>
      <c r="E62" s="130"/>
      <c r="F62" s="130"/>
      <c r="G62" s="130"/>
      <c r="H62" s="130"/>
      <c r="I62" s="129"/>
      <c r="J62" s="130"/>
      <c r="K62" s="130"/>
      <c r="L62" s="130"/>
      <c r="M62" s="130"/>
      <c r="N62" s="130"/>
      <c r="O62" s="130"/>
    </row>
    <row r="63" spans="2:22" ht="19.95" customHeight="1" x14ac:dyDescent="0.3">
      <c r="B63" s="129"/>
      <c r="C63" s="130"/>
      <c r="D63" s="130"/>
      <c r="E63" s="130"/>
      <c r="F63" s="130"/>
      <c r="G63" s="130"/>
      <c r="H63" s="130"/>
      <c r="I63" s="129"/>
      <c r="J63" s="130"/>
      <c r="K63" s="130"/>
      <c r="L63" s="130"/>
      <c r="M63" s="130"/>
      <c r="N63" s="130"/>
      <c r="O63" s="130"/>
    </row>
    <row r="64" spans="2:22" ht="19.95" customHeight="1" x14ac:dyDescent="0.3">
      <c r="B64" s="129"/>
      <c r="C64" s="130"/>
      <c r="D64" s="130"/>
      <c r="E64" s="130"/>
      <c r="F64" s="130"/>
      <c r="G64" s="130"/>
      <c r="H64" s="130"/>
      <c r="I64" s="129"/>
      <c r="J64" s="130"/>
      <c r="K64" s="130"/>
      <c r="L64" s="130"/>
      <c r="M64" s="130"/>
      <c r="N64" s="130"/>
      <c r="O64" s="130"/>
    </row>
    <row r="65" spans="2:15" ht="19.95" customHeight="1" x14ac:dyDescent="0.3">
      <c r="B65" s="129"/>
      <c r="C65" s="130"/>
      <c r="D65" s="130"/>
      <c r="E65" s="130"/>
      <c r="F65" s="130"/>
      <c r="G65" s="130"/>
      <c r="H65" s="130"/>
      <c r="I65" s="129"/>
      <c r="J65" s="130"/>
      <c r="K65" s="130"/>
      <c r="L65" s="130"/>
      <c r="M65" s="130"/>
      <c r="N65" s="130"/>
      <c r="O65" s="130"/>
    </row>
    <row r="66" spans="2:15" ht="19.95" customHeight="1" x14ac:dyDescent="0.3">
      <c r="B66" s="129"/>
      <c r="C66" s="130"/>
      <c r="D66" s="130"/>
      <c r="E66" s="130"/>
      <c r="F66" s="130"/>
      <c r="G66" s="130"/>
      <c r="H66" s="130"/>
      <c r="I66" s="129"/>
      <c r="J66" s="130"/>
      <c r="K66" s="130"/>
      <c r="L66" s="130"/>
      <c r="M66" s="130"/>
      <c r="N66" s="130"/>
      <c r="O66" s="130"/>
    </row>
    <row r="300" spans="2:2" hidden="1" x14ac:dyDescent="0.3">
      <c r="B300" t="s">
        <v>2</v>
      </c>
    </row>
    <row r="301" spans="2:2" hidden="1" x14ac:dyDescent="0.3">
      <c r="B301" t="s">
        <v>3</v>
      </c>
    </row>
    <row r="302" spans="2:2" hidden="1" x14ac:dyDescent="0.3">
      <c r="B302" t="s">
        <v>4</v>
      </c>
    </row>
    <row r="303" spans="2:2" hidden="1" x14ac:dyDescent="0.3">
      <c r="B303" t="s">
        <v>5</v>
      </c>
    </row>
    <row r="304" spans="2:2" hidden="1" x14ac:dyDescent="0.3">
      <c r="B304" t="s">
        <v>6</v>
      </c>
    </row>
    <row r="305" spans="2:2" hidden="1" x14ac:dyDescent="0.3">
      <c r="B305" t="s">
        <v>7</v>
      </c>
    </row>
    <row r="306" spans="2:2" hidden="1" x14ac:dyDescent="0.3">
      <c r="B306" t="s">
        <v>8</v>
      </c>
    </row>
    <row r="307" spans="2:2" hidden="1" x14ac:dyDescent="0.3">
      <c r="B307" t="s">
        <v>9</v>
      </c>
    </row>
    <row r="308" spans="2:2" hidden="1" x14ac:dyDescent="0.3">
      <c r="B308" t="s">
        <v>10</v>
      </c>
    </row>
    <row r="309" spans="2:2" hidden="1" x14ac:dyDescent="0.3">
      <c r="B309" t="s">
        <v>11</v>
      </c>
    </row>
    <row r="310" spans="2:2" hidden="1" x14ac:dyDescent="0.3">
      <c r="B310" t="s">
        <v>12</v>
      </c>
    </row>
    <row r="311" spans="2:2" hidden="1" x14ac:dyDescent="0.3">
      <c r="B311" t="s">
        <v>13</v>
      </c>
    </row>
    <row r="312" spans="2:2" hidden="1" x14ac:dyDescent="0.3">
      <c r="B312" t="s">
        <v>14</v>
      </c>
    </row>
    <row r="313" spans="2:2" hidden="1" x14ac:dyDescent="0.3">
      <c r="B313" t="s">
        <v>15</v>
      </c>
    </row>
    <row r="314" spans="2:2" hidden="1" x14ac:dyDescent="0.3">
      <c r="B314" t="s">
        <v>16</v>
      </c>
    </row>
    <row r="315" spans="2:2" hidden="1" x14ac:dyDescent="0.3">
      <c r="B315" t="s">
        <v>17</v>
      </c>
    </row>
    <row r="316" spans="2:2" hidden="1" x14ac:dyDescent="0.3">
      <c r="B316" t="s">
        <v>18</v>
      </c>
    </row>
    <row r="317" spans="2:2" hidden="1" x14ac:dyDescent="0.3">
      <c r="B317" t="s">
        <v>19</v>
      </c>
    </row>
    <row r="318" spans="2:2" hidden="1" x14ac:dyDescent="0.3">
      <c r="B318" t="s">
        <v>20</v>
      </c>
    </row>
    <row r="319" spans="2:2" hidden="1" x14ac:dyDescent="0.3">
      <c r="B319" t="s">
        <v>21</v>
      </c>
    </row>
    <row r="320" spans="2:2" hidden="1" x14ac:dyDescent="0.3">
      <c r="B320" t="s">
        <v>22</v>
      </c>
    </row>
    <row r="321" spans="2:2" hidden="1" x14ac:dyDescent="0.3">
      <c r="B321" t="s">
        <v>23</v>
      </c>
    </row>
    <row r="322" spans="2:2" hidden="1" x14ac:dyDescent="0.3">
      <c r="B322" t="s">
        <v>24</v>
      </c>
    </row>
    <row r="323" spans="2:2" hidden="1" x14ac:dyDescent="0.3">
      <c r="B323" t="s">
        <v>25</v>
      </c>
    </row>
    <row r="324" spans="2:2" hidden="1" x14ac:dyDescent="0.3">
      <c r="B324" t="s">
        <v>26</v>
      </c>
    </row>
    <row r="325" spans="2:2" hidden="1" x14ac:dyDescent="0.3">
      <c r="B325" t="s">
        <v>27</v>
      </c>
    </row>
    <row r="326" spans="2:2" hidden="1" x14ac:dyDescent="0.3">
      <c r="B326" t="s">
        <v>28</v>
      </c>
    </row>
    <row r="327" spans="2:2" hidden="1" x14ac:dyDescent="0.3">
      <c r="B327" t="s">
        <v>29</v>
      </c>
    </row>
    <row r="328" spans="2:2" hidden="1" x14ac:dyDescent="0.3">
      <c r="B328" t="s">
        <v>30</v>
      </c>
    </row>
    <row r="329" spans="2:2" hidden="1" x14ac:dyDescent="0.3">
      <c r="B329" t="s">
        <v>31</v>
      </c>
    </row>
    <row r="330" spans="2:2" hidden="1" x14ac:dyDescent="0.3">
      <c r="B330" t="s">
        <v>32</v>
      </c>
    </row>
    <row r="331" spans="2:2" hidden="1" x14ac:dyDescent="0.3">
      <c r="B331" t="s">
        <v>33</v>
      </c>
    </row>
    <row r="332" spans="2:2" hidden="1" x14ac:dyDescent="0.3">
      <c r="B332" t="s">
        <v>34</v>
      </c>
    </row>
    <row r="333" spans="2:2" hidden="1" x14ac:dyDescent="0.3">
      <c r="B333" t="s">
        <v>35</v>
      </c>
    </row>
    <row r="334" spans="2:2" hidden="1" x14ac:dyDescent="0.3">
      <c r="B334" t="s">
        <v>36</v>
      </c>
    </row>
    <row r="335" spans="2:2" hidden="1" x14ac:dyDescent="0.3">
      <c r="B335" t="s">
        <v>37</v>
      </c>
    </row>
    <row r="336" spans="2:2" hidden="1" x14ac:dyDescent="0.3">
      <c r="B336" t="s">
        <v>38</v>
      </c>
    </row>
    <row r="337" spans="2:2" hidden="1" x14ac:dyDescent="0.3">
      <c r="B337" t="s">
        <v>39</v>
      </c>
    </row>
    <row r="338" spans="2:2" hidden="1" x14ac:dyDescent="0.3">
      <c r="B338" t="s">
        <v>40</v>
      </c>
    </row>
    <row r="339" spans="2:2" hidden="1" x14ac:dyDescent="0.3">
      <c r="B339" t="s">
        <v>41</v>
      </c>
    </row>
    <row r="340" spans="2:2" hidden="1" x14ac:dyDescent="0.3">
      <c r="B340" t="s">
        <v>42</v>
      </c>
    </row>
    <row r="341" spans="2:2" hidden="1" x14ac:dyDescent="0.3">
      <c r="B341" t="s">
        <v>43</v>
      </c>
    </row>
    <row r="342" spans="2:2" hidden="1" x14ac:dyDescent="0.3">
      <c r="B342" t="s">
        <v>44</v>
      </c>
    </row>
    <row r="343" spans="2:2" hidden="1" x14ac:dyDescent="0.3">
      <c r="B343" t="s">
        <v>45</v>
      </c>
    </row>
    <row r="344" spans="2:2" hidden="1" x14ac:dyDescent="0.3">
      <c r="B344" t="s">
        <v>46</v>
      </c>
    </row>
    <row r="345" spans="2:2" hidden="1" x14ac:dyDescent="0.3">
      <c r="B345" t="s">
        <v>47</v>
      </c>
    </row>
    <row r="346" spans="2:2" hidden="1" x14ac:dyDescent="0.3">
      <c r="B346" t="s">
        <v>48</v>
      </c>
    </row>
    <row r="347" spans="2:2" hidden="1" x14ac:dyDescent="0.3">
      <c r="B347" t="s">
        <v>49</v>
      </c>
    </row>
    <row r="348" spans="2:2" hidden="1" x14ac:dyDescent="0.3">
      <c r="B348" t="s">
        <v>50</v>
      </c>
    </row>
    <row r="349" spans="2:2" hidden="1" x14ac:dyDescent="0.3">
      <c r="B349" t="s">
        <v>51</v>
      </c>
    </row>
    <row r="350" spans="2:2" hidden="1" x14ac:dyDescent="0.3">
      <c r="B350" t="s">
        <v>52</v>
      </c>
    </row>
    <row r="351" spans="2:2" hidden="1" x14ac:dyDescent="0.3">
      <c r="B351" t="s">
        <v>53</v>
      </c>
    </row>
    <row r="352" spans="2:2" hidden="1" x14ac:dyDescent="0.3">
      <c r="B352" t="s">
        <v>54</v>
      </c>
    </row>
    <row r="353" spans="2:2" hidden="1" x14ac:dyDescent="0.3">
      <c r="B353" t="s">
        <v>55</v>
      </c>
    </row>
    <row r="354" spans="2:2" hidden="1" x14ac:dyDescent="0.3">
      <c r="B354" t="s">
        <v>56</v>
      </c>
    </row>
    <row r="355" spans="2:2" hidden="1" x14ac:dyDescent="0.3">
      <c r="B355" t="s">
        <v>57</v>
      </c>
    </row>
    <row r="356" spans="2:2" hidden="1" x14ac:dyDescent="0.3">
      <c r="B356" t="s">
        <v>58</v>
      </c>
    </row>
    <row r="357" spans="2:2" hidden="1" x14ac:dyDescent="0.3">
      <c r="B357" t="s">
        <v>59</v>
      </c>
    </row>
    <row r="358" spans="2:2" hidden="1" x14ac:dyDescent="0.3">
      <c r="B358" t="s">
        <v>60</v>
      </c>
    </row>
    <row r="359" spans="2:2" hidden="1" x14ac:dyDescent="0.3">
      <c r="B359" t="s">
        <v>61</v>
      </c>
    </row>
    <row r="360" spans="2:2" hidden="1" x14ac:dyDescent="0.3"/>
    <row r="361" spans="2:2" hidden="1" x14ac:dyDescent="0.3"/>
    <row r="362" spans="2:2" hidden="1" x14ac:dyDescent="0.3"/>
    <row r="363" spans="2:2" hidden="1" x14ac:dyDescent="0.3"/>
    <row r="364" spans="2:2" hidden="1" x14ac:dyDescent="0.3"/>
    <row r="365" spans="2:2" hidden="1" x14ac:dyDescent="0.3"/>
    <row r="366" spans="2:2" hidden="1" x14ac:dyDescent="0.3"/>
    <row r="367" spans="2:2" hidden="1" x14ac:dyDescent="0.3"/>
    <row r="368" spans="2:2" hidden="1" x14ac:dyDescent="0.3"/>
    <row r="369" hidden="1" x14ac:dyDescent="0.3"/>
    <row r="370" hidden="1" x14ac:dyDescent="0.3"/>
  </sheetData>
  <mergeCells count="148">
    <mergeCell ref="I57:O57"/>
    <mergeCell ref="I58:O58"/>
    <mergeCell ref="I59:O59"/>
    <mergeCell ref="B57:H57"/>
    <mergeCell ref="B58:H58"/>
    <mergeCell ref="B59:H59"/>
    <mergeCell ref="I66:O66"/>
    <mergeCell ref="B60:R60"/>
    <mergeCell ref="I61:O61"/>
    <mergeCell ref="I62:O62"/>
    <mergeCell ref="I63:O63"/>
    <mergeCell ref="I64:O64"/>
    <mergeCell ref="I65:O65"/>
    <mergeCell ref="B63:H63"/>
    <mergeCell ref="B64:H64"/>
    <mergeCell ref="B65:H65"/>
    <mergeCell ref="B66:H66"/>
    <mergeCell ref="B61:H61"/>
    <mergeCell ref="B62:H62"/>
    <mergeCell ref="B54:H54"/>
    <mergeCell ref="B55:H55"/>
    <mergeCell ref="B56:H56"/>
    <mergeCell ref="P44:V44"/>
    <mergeCell ref="P45:V45"/>
    <mergeCell ref="P46:V46"/>
    <mergeCell ref="P47:V47"/>
    <mergeCell ref="P48:V48"/>
    <mergeCell ref="P49:V49"/>
    <mergeCell ref="I47:O47"/>
    <mergeCell ref="I48:O48"/>
    <mergeCell ref="I49:O49"/>
    <mergeCell ref="I50:O50"/>
    <mergeCell ref="I51:O51"/>
    <mergeCell ref="I52:O52"/>
    <mergeCell ref="B50:H50"/>
    <mergeCell ref="B51:H51"/>
    <mergeCell ref="B52:H52"/>
    <mergeCell ref="B47:H47"/>
    <mergeCell ref="B48:H48"/>
    <mergeCell ref="B49:H49"/>
    <mergeCell ref="I54:O54"/>
    <mergeCell ref="I55:O55"/>
    <mergeCell ref="I56:O56"/>
    <mergeCell ref="I44:O44"/>
    <mergeCell ref="I45:O45"/>
    <mergeCell ref="I46:O46"/>
    <mergeCell ref="B44:H44"/>
    <mergeCell ref="B45:H45"/>
    <mergeCell ref="B46:H46"/>
    <mergeCell ref="P50:V50"/>
    <mergeCell ref="P51:V51"/>
    <mergeCell ref="P52:V52"/>
    <mergeCell ref="P37:V37"/>
    <mergeCell ref="P38:V38"/>
    <mergeCell ref="B40:H40"/>
    <mergeCell ref="B41:H41"/>
    <mergeCell ref="B42:H42"/>
    <mergeCell ref="B43:H43"/>
    <mergeCell ref="P40:V40"/>
    <mergeCell ref="P41:V41"/>
    <mergeCell ref="P42:V42"/>
    <mergeCell ref="P43:V43"/>
    <mergeCell ref="I37:O37"/>
    <mergeCell ref="I38:O38"/>
    <mergeCell ref="I40:O40"/>
    <mergeCell ref="I41:O41"/>
    <mergeCell ref="I42:O42"/>
    <mergeCell ref="I43:O43"/>
    <mergeCell ref="B37:H37"/>
    <mergeCell ref="B38:H38"/>
    <mergeCell ref="B31:H31"/>
    <mergeCell ref="B32:H32"/>
    <mergeCell ref="B33:H33"/>
    <mergeCell ref="P31:V31"/>
    <mergeCell ref="P32:V32"/>
    <mergeCell ref="P33:V33"/>
    <mergeCell ref="P34:V34"/>
    <mergeCell ref="P35:V35"/>
    <mergeCell ref="P36:V36"/>
    <mergeCell ref="I34:O34"/>
    <mergeCell ref="I35:O35"/>
    <mergeCell ref="I36:O36"/>
    <mergeCell ref="B34:H34"/>
    <mergeCell ref="B35:H35"/>
    <mergeCell ref="B36:H36"/>
    <mergeCell ref="I31:O31"/>
    <mergeCell ref="I32:O32"/>
    <mergeCell ref="I33:O33"/>
    <mergeCell ref="P24:V24"/>
    <mergeCell ref="B26:H26"/>
    <mergeCell ref="B27:H27"/>
    <mergeCell ref="B28:H28"/>
    <mergeCell ref="B29:H29"/>
    <mergeCell ref="B30:H30"/>
    <mergeCell ref="I24:O24"/>
    <mergeCell ref="P26:V26"/>
    <mergeCell ref="P27:V27"/>
    <mergeCell ref="P28:V28"/>
    <mergeCell ref="P29:V29"/>
    <mergeCell ref="P30:V30"/>
    <mergeCell ref="B24:H24"/>
    <mergeCell ref="I26:O26"/>
    <mergeCell ref="I27:O27"/>
    <mergeCell ref="I28:O28"/>
    <mergeCell ref="I29:O29"/>
    <mergeCell ref="I30:O30"/>
    <mergeCell ref="I18:O18"/>
    <mergeCell ref="I19:O19"/>
    <mergeCell ref="I20:O20"/>
    <mergeCell ref="P18:V18"/>
    <mergeCell ref="P19:V19"/>
    <mergeCell ref="P20:V20"/>
    <mergeCell ref="P21:V21"/>
    <mergeCell ref="P22:V22"/>
    <mergeCell ref="P23:V23"/>
    <mergeCell ref="I21:O21"/>
    <mergeCell ref="I22:O22"/>
    <mergeCell ref="I23:O23"/>
    <mergeCell ref="B18:H18"/>
    <mergeCell ref="B19:H19"/>
    <mergeCell ref="B20:H20"/>
    <mergeCell ref="B21:H21"/>
    <mergeCell ref="B22:H22"/>
    <mergeCell ref="B23:H23"/>
    <mergeCell ref="B12:H12"/>
    <mergeCell ref="B13:H13"/>
    <mergeCell ref="B14:H14"/>
    <mergeCell ref="B15:H15"/>
    <mergeCell ref="B16:H16"/>
    <mergeCell ref="B17:H17"/>
    <mergeCell ref="P15:V15"/>
    <mergeCell ref="P16:V16"/>
    <mergeCell ref="P17:V17"/>
    <mergeCell ref="B1:R3"/>
    <mergeCell ref="B4:R4"/>
    <mergeCell ref="B6:R6"/>
    <mergeCell ref="B7:F8"/>
    <mergeCell ref="G7:H8"/>
    <mergeCell ref="A10:P10"/>
    <mergeCell ref="P12:V12"/>
    <mergeCell ref="P13:V13"/>
    <mergeCell ref="P14:V14"/>
    <mergeCell ref="I12:O12"/>
    <mergeCell ref="I13:O13"/>
    <mergeCell ref="I14:O14"/>
    <mergeCell ref="I15:O15"/>
    <mergeCell ref="I16:O16"/>
    <mergeCell ref="I17:O17"/>
  </mergeCells>
  <dataValidations count="1">
    <dataValidation type="list" allowBlank="1" showInputMessage="1" showErrorMessage="1" sqref="B7" xr:uid="{4E519B7E-0383-4119-975E-BA9F671F3AD6}">
      <formula1>"'Navigation'!$B$300:$B$370"</formula1>
    </dataValidation>
  </dataValidations>
  <hyperlinks>
    <hyperlink ref="B13" location="'Weekly_Dashboard'!A1" tooltip="🎨 Weekly Dashboard" display="'Weekly_Dashboard'!A1" xr:uid="{EEB36B06-BA68-469A-AF4A-344E380DDF49}"/>
    <hyperlink ref="B14" location="'Weekly_Schedule'!A1" tooltip="📅 Weekly Schedule" display="'Weekly_Schedule'!A1" xr:uid="{DB4B9309-445A-4B04-9627-3F70F8465E2C}"/>
    <hyperlink ref="B15" location="'Habit_Tracker'!A1" tooltip="✅ Habit Tracker" display="'Habit_Tracker'!A1" xr:uid="{B442FE25-2406-424D-8C18-58F2E0A99BB0}"/>
    <hyperlink ref="B16" location="'Task_Priorities'!A1" tooltip="🎯 Task Priorities" display="'Task_Priorities'!A1" xr:uid="{FE0A9E60-E363-44E9-A70A-DAD53A2E27B8}"/>
    <hyperlink ref="B17" location="'Weekly_Review'!A1" tooltip="📝 Weekly Review" display="'Weekly_Review'!A1" xr:uid="{B34E3E20-4395-4396-B2EA-7E670FA5FA88}"/>
    <hyperlink ref="I13" location="'CLO_College'!A1" tooltip="🎓 CLO College" display="'CLO_College'!A1" xr:uid="{D1FC337C-17BB-47EF-A266-67579898C35C}"/>
    <hyperlink ref="I14" location="'Task_Mapping'!A1" tooltip="📋 Task Mapping" display="'Task_Mapping'!A1" xr:uid="{39F42DC0-EC61-4762-8795-7C63E3AD6669}"/>
    <hyperlink ref="I15" location="'Progress_Tracker'!A1" tooltip="📊 Progress Tracker" display="'Progress_Tracker'!A1" xr:uid="{3F637E28-9412-46E4-ABF8-A9680FB8C4AD}"/>
    <hyperlink ref="I16" location="'Time_Blocks'!A1" tooltip="⏰ Time Blocks" display="'Time_Blocks'!A1" xr:uid="{82187398-B141-4EBD-AC34-538365DD2138}"/>
    <hyperlink ref="I17" location="'Color_Legend'!A1" tooltip="🎨 Color Legend" display="'Color_Legend'!A1" xr:uid="{BDBF7FBA-CC95-46E9-B75D-0848AE15A61B}"/>
    <hyperlink ref="I18" location="'Amity_College'!A1" tooltip="🎓 Amity College" display="'Amity_College'!A1" xr:uid="{3A803F67-B376-46E2-B446-3C4A04724D55}"/>
    <hyperlink ref="I19" location="'CKO_Knowledge'!A1" tooltip="📘 CKO Knowledge" display="'CKO_Knowledge'!A1" xr:uid="{B772AB4F-A0BF-4828-BC7F-5DBF33E8BFF2}"/>
    <hyperlink ref="I20" location="'CLO2_Language'!A1" tooltip="🌐 CLO2 Language" display="'CLO2_Language'!A1" xr:uid="{D5B99C7A-1BF3-427F-B13A-18EC5A2DC331}"/>
    <hyperlink ref="I21" location="'CTO_SkillDev'!A1" tooltip="🛠️ CTO Skill Dev" display="'CTO_SkillDev'!A1" xr:uid="{3C3A734B-EB0B-4473-9DD1-0D53988829F2}"/>
    <hyperlink ref="I22" location="'COO_Operations'!A1" tooltip="💼 COO Operations" display="'COO_Operations'!A1" xr:uid="{9CF3A37A-628E-40CF-8A31-0EBB7322E844}"/>
    <hyperlink ref="I23" location="'CPO_Voice'!A1" tooltip="🎤 CPO Voice" display="'CPO_Voice'!A1" xr:uid="{B671D381-D8A8-4445-A5D3-2D179113478E}"/>
    <hyperlink ref="P13" location="'Weekly_Meal_Plan'!A1" tooltip="🍽️ Weekly Meal Plan" display="'Weekly_Meal_Plan'!A1" xr:uid="{993EA8B9-D6BE-42A2-AE22-0B96FA830382}"/>
    <hyperlink ref="P14" location="'Grocery_List'!A1" tooltip="🛒 Grocery List" display="'Grocery_List'!A1" xr:uid="{4ACBAE9F-7128-420E-A14B-F4FD2B859432}"/>
    <hyperlink ref="P15" location="'Water_Health'!A1" tooltip="💧 Water &amp; Health" display="'Water_Health'!A1" xr:uid="{B4C14308-0351-4A2C-BA20-35CD9066F990}"/>
    <hyperlink ref="P16" location="'Calorie_Tracker'!A1" tooltip="🔥 Calorie Tracker" display="'Calorie_Tracker'!A1" xr:uid="{A2AC5406-21A8-4C80-87E9-8D734343A338}"/>
    <hyperlink ref="P17" location="'Meal_Prep'!A1" tooltip="👨‍🍳 Meal Prep" display="'Meal_Prep'!A1" xr:uid="{8AB7B3A3-6907-45EB-BC91-0D4849E16C08}"/>
    <hyperlink ref="P18" location="'Recipe_Collection'!A1" tooltip="📖 Recipe Collection" display="'Recipe_Collection'!A1" xr:uid="{5BBC95BA-D550-4DF5-8114-5DBFF3173498}"/>
    <hyperlink ref="B27" location="'WeightGain_MealPlan'!A1" tooltip="💪 Weight Gain Meals" display="'WeightGain_MealPlan'!A1" xr:uid="{0175F854-BC44-4786-BF04-598CB12CEAF2}"/>
    <hyperlink ref="B28" location="'Calorie_Protein'!A1" tooltip="📊 Calorie &amp; Protein" display="'Calorie_Protein'!A1" xr:uid="{3CB5CF47-F429-4082-BEA7-5C35C1BB8F60}"/>
    <hyperlink ref="B29" location="'Weight_Tracker'!A1" tooltip="⚖️ Weight Tracker" display="'Weight_Tracker'!A1" xr:uid="{9921DACC-EB78-4E6A-9A7E-3CFBE97F0D9F}"/>
    <hyperlink ref="B30" location="'Supplements'!A1" tooltip="🥤 Supplements" display="'Supplements'!A1" xr:uid="{EEF78E56-B779-4C71-B6F8-BD50D33F944E}"/>
    <hyperlink ref="B31" location="'Workout_Diet'!A1" tooltip="🏋️ Workout Diet" display="'Workout_Diet'!A1" xr:uid="{673351F8-E7FB-4671-B983-F33E5FC127C9}"/>
    <hyperlink ref="I27" location="'CEO_Dashboard'!A1" tooltip="👑 CEO Dashboard" display="'CEO_Dashboard'!A1" xr:uid="{9E9C1C74-F1F8-4016-85F3-755E9FB835B6}"/>
    <hyperlink ref="I28" location="'Skills_Tracker'!A1" tooltip="🎯 Skills Tracker" display="'Skills_Tracker'!A1" xr:uid="{480A9680-B6BC-4500-8EAE-FE0546E3513E}"/>
    <hyperlink ref="I29" location="'CEO_Daily_Schedule'!A1" tooltip="⏰ Daily Schedule" display="'CEO_Daily_Schedule'!A1" xr:uid="{49E4C58E-2FC8-4D8E-955D-7F8F2C75F189}"/>
    <hyperlink ref="I30" location="'52-Week_Plan'!A1" tooltip="📅 52-Week Plan" display="'52-Week_Plan'!A1" xr:uid="{C547C2F4-AB71-495E-BA5A-6BDB4BF6A086}"/>
    <hyperlink ref="I31" location="'CEO_Books'!A1" tooltip="📚 CEO Books" display="'CEO_Books'!A1" xr:uid="{5B96E280-EDFC-4565-A2B8-2CE7C8CD6FDC}"/>
    <hyperlink ref="I32" location="'CEO_Journal'!A1" tooltip="📝 CEO Journal" display="'CEO_Journal'!A1" xr:uid="{98D79E8C-985E-4CAF-8B64-5DB6601BB6C0}"/>
    <hyperlink ref="I33" location="'CEO_Mindset'!A1" tooltip="🧠 CEO Mindset" display="'CEO_Mindset'!A1" xr:uid="{B5EB9C4A-6071-428A-9F88-8AF533771D8E}"/>
    <hyperlink ref="P27" location="'Daily_Diary'!A1" tooltip="📔 Daily Diary" display="'Daily_Diary'!A1" xr:uid="{BECBD5F7-4FF5-4C0C-810E-2141A4EC6EC7}"/>
    <hyperlink ref="P28" location="'Weekly_Diary'!A1" tooltip="📅 Weekly Diary" display="'Weekly_Diary'!A1" xr:uid="{FF328DC1-2456-4627-B0DC-487EFD027393}"/>
    <hyperlink ref="P29" location="'Notes'!A1" tooltip="📝 Notes" display="'Notes'!A1" xr:uid="{12C95C2C-C92D-46DE-B2B2-AFB2A78AE749}"/>
    <hyperlink ref="P30" location="'Gratitude_Journal'!A1" tooltip="🙏 Gratitude Journal" display="'Gratitude_Journal'!A1" xr:uid="{BABEF244-F382-403C-A580-6E895C1CF7D8}"/>
    <hyperlink ref="B41" location="'Financial_Dashboard'!A1" tooltip="💰 Financial Dashboard" display="'Financial_Dashboard'!A1" xr:uid="{9C25BDA2-8B9E-4607-A33B-1D17B2927B04}"/>
    <hyperlink ref="B42" location="'Income_Tracker'!A1" tooltip="💵 Income Tracker" display="'Income_Tracker'!A1" xr:uid="{78B9BE98-E034-4040-B948-80037338730B}"/>
    <hyperlink ref="B43" location="'Expense_Tracker'!A1" tooltip="💳 Expense Tracker" display="'Expense_Tracker'!A1" xr:uid="{24A08325-91F5-4150-9BED-31C7C8F5B93F}"/>
    <hyperlink ref="B44" location="'Loan_Manager'!A1" tooltip="🏦 Loan Manager" display="'Loan_Manager'!A1" xr:uid="{A59003AF-1010-4123-826A-64770F55D7ED}"/>
    <hyperlink ref="B45" location="'Daily_Checklist'!A1" tooltip="✅ Daily Checklist" display="'Daily_Checklist'!A1" xr:uid="{D80980B1-BEFA-4036-A5F3-EF3EF7F81A0E}"/>
    <hyperlink ref="B46" location="'Hatiya_Market'!A1" tooltip="🏪 Hatiya Market" display="'Hatiya_Market'!A1" xr:uid="{F19AB435-0ACA-4345-BD11-2C4238FFD266}"/>
    <hyperlink ref="I41" location="'Monthly_Dashboard'!A1" tooltip="📊 Monthly Dashboard" display="'Monthly_Dashboard'!A1" xr:uid="{7001F187-E361-4A3E-8A59-6DD6F3F2665B}"/>
    <hyperlink ref="I42" location="'Daily_Tracker'!A1" tooltip="📅 Daily Tracker" display="'Daily_Tracker'!A1" xr:uid="{BDE09351-925C-4FB5-820D-FA48EC25EAB8}"/>
    <hyperlink ref="I43" location="'Monthly_Goals'!A1" tooltip="🎯 Monthly Goals" display="'Monthly_Goals'!A1" xr:uid="{6EDFCB1C-325D-4C8C-BA1A-DCE5610AA7F4}"/>
    <hyperlink ref="I44" location="'Monthly_Habits'!A1" tooltip="🔥 Monthly Habits" display="'Monthly_Habits'!A1" xr:uid="{7420BF1E-4DD9-402C-AD4E-320821A48526}"/>
    <hyperlink ref="P41" location="'Revision_Schedule'!A1" tooltip="📚 Revision Schedule" display="'Revision_Schedule'!A1" xr:uid="{4068065A-94A9-427E-9D49-637D1A6BEF62}"/>
    <hyperlink ref="P42" location="'Revision_Tracker'!A1" tooltip="✅ Revision Tracker" display="'Revision_Tracker'!A1" xr:uid="{F75FF6AD-2D5F-438B-B4A0-C354A66CDCD2}"/>
    <hyperlink ref="P43" location="'Subject_Progress'!A1" tooltip="📊 Subject Progress" display="'Subject_Progress'!A1" xr:uid="{2AF1031F-F140-416B-96AF-9C9057A3A097}"/>
    <hyperlink ref="P44" location="'Techniques'!A1" tooltip="🧠 Techniques" display="'Techniques'!A1" xr:uid="{73DF7369-B633-4E86-85A4-F60BCB9A4A21}"/>
    <hyperlink ref="P45" location="'Revision_Log'!A1" tooltip="📝 Revision Log" display="'Revision_Log'!A1" xr:uid="{864620EE-B8F5-4CC5-9227-F634462FCB37}"/>
    <hyperlink ref="B55" location="'Year_Dashboard'!A1" tooltip="📅 Year Dashboard" display="'Year_Dashboard'!A1" xr:uid="{13247CAA-ABB7-46A9-86C8-5F60E694F17D}"/>
    <hyperlink ref="B56" location="'Yearly_Monthly_Tracker'!A1" tooltip="📆 Monthly Tracker" display="'Yearly_Monthly_Tracker'!A1" xr:uid="{6A761147-24B2-42B0-9A5F-EFD3A22FD589}"/>
    <hyperlink ref="B57" location="'Yearly_Goals'!A1" tooltip="🎯 Yearly Goals" display="'Yearly_Goals'!A1" xr:uid="{6CA128A1-FB3E-4056-B7B2-B0D4C5AE8FCA}"/>
    <hyperlink ref="B58" location="'Yearly_Review'!A1" tooltip="🌟 Yearly Review" display="'Yearly_Review'!A1" xr:uid="{240B2439-7052-4E9E-A818-6E5CF65ECDC6}"/>
    <hyperlink ref="B59" location="'Yearly_Habits'!A1" tooltip="🔥 Yearly Habits" display="'Yearly_Habits'!A1" xr:uid="{675F5D51-8F6C-4D89-9379-CE5BFFAEDE6B}"/>
    <hyperlink ref="A11" location="'Planning_Sheet'!A1" tooltip="Planning Sheet" display="'Planning_Sheet'!A1" xr:uid="{9AB96055-B684-472A-807C-F63277F610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28C4-EDC9-4274-B840-17047DCF322A}">
  <sheetPr codeName="Sheet2"/>
  <dimension ref="A1:L8"/>
  <sheetViews>
    <sheetView workbookViewId="0"/>
  </sheetViews>
  <sheetFormatPr defaultRowHeight="14.4" x14ac:dyDescent="0.3"/>
  <cols>
    <col min="1" max="1" width="22.77734375" customWidth="1"/>
    <col min="2" max="12" width="12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25.95" customHeight="1" x14ac:dyDescent="0.3">
      <c r="A3" s="144" t="s">
        <v>135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5" spans="1:12" ht="24" customHeight="1" x14ac:dyDescent="0.3">
      <c r="A5" s="4" t="s">
        <v>136</v>
      </c>
      <c r="B5" s="5">
        <v>0</v>
      </c>
      <c r="C5" s="6"/>
      <c r="D5" s="6"/>
    </row>
    <row r="6" spans="1:12" ht="24" customHeight="1" x14ac:dyDescent="0.3">
      <c r="A6" s="7" t="s">
        <v>137</v>
      </c>
      <c r="B6" s="8">
        <v>0</v>
      </c>
      <c r="C6" s="6"/>
      <c r="D6" s="6"/>
    </row>
    <row r="7" spans="1:12" ht="24" customHeight="1" x14ac:dyDescent="0.3">
      <c r="A7" s="9" t="s">
        <v>138</v>
      </c>
      <c r="B7" s="10">
        <v>0</v>
      </c>
      <c r="C7" s="6"/>
      <c r="D7" s="6"/>
    </row>
    <row r="8" spans="1:12" ht="24" customHeight="1" x14ac:dyDescent="0.3">
      <c r="A8" s="11" t="s">
        <v>139</v>
      </c>
      <c r="B8" s="12" t="s">
        <v>140</v>
      </c>
      <c r="C8" s="6"/>
      <c r="D8" s="6"/>
    </row>
  </sheetData>
  <mergeCells count="2">
    <mergeCell ref="A1:L1"/>
    <mergeCell ref="A3:L3"/>
  </mergeCells>
  <hyperlinks>
    <hyperlink ref="A1" location="'Navigation'!A1" tooltip="Back" display="'Navigation'!A1" xr:uid="{98C751DE-AD26-4243-9104-CF0CE059B95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527C-E7D5-443E-8528-3294AD5260B2}">
  <sheetPr codeName="Sheet3"/>
  <dimension ref="A1:L28"/>
  <sheetViews>
    <sheetView workbookViewId="0"/>
  </sheetViews>
  <sheetFormatPr defaultRowHeight="14.4" x14ac:dyDescent="0.3"/>
  <cols>
    <col min="1" max="1" width="10.77734375" customWidth="1"/>
    <col min="2" max="8" width="15.77734375" customWidth="1"/>
    <col min="9" max="11" width="18.77734375" customWidth="1"/>
    <col min="12" max="12" width="6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25.95" customHeight="1" x14ac:dyDescent="0.3">
      <c r="A3" s="145" t="s">
        <v>141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5" spans="1:12" x14ac:dyDescent="0.3">
      <c r="A5" s="13" t="s">
        <v>142</v>
      </c>
      <c r="B5" s="13" t="s">
        <v>143</v>
      </c>
      <c r="C5" s="13" t="s">
        <v>144</v>
      </c>
      <c r="D5" s="13" t="s">
        <v>145</v>
      </c>
      <c r="E5" s="13" t="s">
        <v>146</v>
      </c>
      <c r="F5" s="13" t="s">
        <v>147</v>
      </c>
      <c r="G5" s="13" t="s">
        <v>148</v>
      </c>
      <c r="H5" s="13" t="s">
        <v>149</v>
      </c>
      <c r="I5" s="13" t="s">
        <v>150</v>
      </c>
      <c r="J5" s="13" t="s">
        <v>151</v>
      </c>
      <c r="K5" s="13" t="s">
        <v>152</v>
      </c>
      <c r="L5" s="13" t="s">
        <v>153</v>
      </c>
    </row>
    <row r="6" spans="1:12" ht="22.05" customHeight="1" x14ac:dyDescent="0.3">
      <c r="A6" s="14">
        <v>0.25</v>
      </c>
      <c r="B6" s="15" t="s">
        <v>154</v>
      </c>
      <c r="C6" s="15" t="s">
        <v>154</v>
      </c>
      <c r="D6" s="15" t="s">
        <v>154</v>
      </c>
      <c r="E6" s="15" t="s">
        <v>154</v>
      </c>
      <c r="F6" s="15" t="s">
        <v>154</v>
      </c>
      <c r="G6" s="15" t="s">
        <v>154</v>
      </c>
      <c r="H6" s="15" t="s">
        <v>154</v>
      </c>
      <c r="I6" s="6"/>
      <c r="J6" s="6"/>
      <c r="K6" s="6"/>
      <c r="L6" s="16" t="s">
        <v>155</v>
      </c>
    </row>
    <row r="7" spans="1:12" ht="22.05" customHeight="1" x14ac:dyDescent="0.3">
      <c r="A7" s="14">
        <v>0.27083333333333331</v>
      </c>
      <c r="B7" s="15" t="s">
        <v>156</v>
      </c>
      <c r="C7" s="15" t="s">
        <v>156</v>
      </c>
      <c r="D7" s="15" t="s">
        <v>156</v>
      </c>
      <c r="E7" s="15" t="s">
        <v>156</v>
      </c>
      <c r="F7" s="15" t="s">
        <v>156</v>
      </c>
      <c r="G7" s="15" t="s">
        <v>156</v>
      </c>
      <c r="H7" s="15" t="s">
        <v>156</v>
      </c>
      <c r="I7" s="6"/>
      <c r="J7" s="6"/>
      <c r="K7" s="6"/>
      <c r="L7" s="16" t="s">
        <v>155</v>
      </c>
    </row>
    <row r="8" spans="1:12" ht="22.05" customHeight="1" x14ac:dyDescent="0.3">
      <c r="A8" s="14">
        <v>0.29166666666666669</v>
      </c>
      <c r="B8" s="15" t="s">
        <v>157</v>
      </c>
      <c r="C8" s="15" t="s">
        <v>157</v>
      </c>
      <c r="D8" s="15" t="s">
        <v>157</v>
      </c>
      <c r="E8" s="15" t="s">
        <v>157</v>
      </c>
      <c r="F8" s="15" t="s">
        <v>157</v>
      </c>
      <c r="G8" s="15" t="s">
        <v>157</v>
      </c>
      <c r="H8" s="15" t="s">
        <v>157</v>
      </c>
      <c r="I8" s="6"/>
      <c r="J8" s="6"/>
      <c r="K8" s="6"/>
      <c r="L8" s="16" t="s">
        <v>155</v>
      </c>
    </row>
    <row r="9" spans="1:12" ht="22.05" customHeight="1" x14ac:dyDescent="0.3">
      <c r="A9" s="14">
        <v>0.3125</v>
      </c>
      <c r="B9" s="17" t="s">
        <v>158</v>
      </c>
      <c r="C9" s="17" t="s">
        <v>158</v>
      </c>
      <c r="D9" s="17" t="s">
        <v>158</v>
      </c>
      <c r="E9" s="17" t="s">
        <v>158</v>
      </c>
      <c r="F9" s="17" t="s">
        <v>158</v>
      </c>
      <c r="G9" s="17" t="s">
        <v>158</v>
      </c>
      <c r="H9" s="17" t="s">
        <v>158</v>
      </c>
      <c r="I9" s="6"/>
      <c r="J9" s="6"/>
      <c r="K9" s="6"/>
      <c r="L9" s="16" t="s">
        <v>155</v>
      </c>
    </row>
    <row r="10" spans="1:12" ht="22.05" customHeight="1" x14ac:dyDescent="0.3">
      <c r="A10" s="14">
        <v>0.33333333333333331</v>
      </c>
      <c r="B10" s="18" t="s">
        <v>159</v>
      </c>
      <c r="C10" s="18" t="s">
        <v>159</v>
      </c>
      <c r="D10" s="18" t="s">
        <v>159</v>
      </c>
      <c r="E10" s="18" t="s">
        <v>159</v>
      </c>
      <c r="F10" s="18" t="s">
        <v>159</v>
      </c>
      <c r="G10" s="18" t="s">
        <v>159</v>
      </c>
      <c r="H10" s="18" t="s">
        <v>159</v>
      </c>
      <c r="I10" s="6"/>
      <c r="J10" s="6"/>
      <c r="K10" s="6"/>
      <c r="L10" s="16" t="s">
        <v>155</v>
      </c>
    </row>
    <row r="11" spans="1:12" ht="22.05" customHeight="1" x14ac:dyDescent="0.3">
      <c r="A11" s="14">
        <v>0.35416666666666669</v>
      </c>
      <c r="B11" s="18" t="s">
        <v>160</v>
      </c>
      <c r="C11" s="18" t="s">
        <v>160</v>
      </c>
      <c r="D11" s="18" t="s">
        <v>160</v>
      </c>
      <c r="E11" s="18" t="s">
        <v>160</v>
      </c>
      <c r="F11" s="18" t="s">
        <v>160</v>
      </c>
      <c r="G11" s="18" t="s">
        <v>160</v>
      </c>
      <c r="H11" s="18" t="s">
        <v>160</v>
      </c>
      <c r="I11" s="6"/>
      <c r="J11" s="6"/>
      <c r="K11" s="6"/>
      <c r="L11" s="16" t="s">
        <v>155</v>
      </c>
    </row>
    <row r="12" spans="1:12" ht="22.05" customHeight="1" x14ac:dyDescent="0.3">
      <c r="A12" s="14">
        <v>0.39583333333333331</v>
      </c>
      <c r="B12" s="19" t="s">
        <v>161</v>
      </c>
      <c r="C12" s="19" t="s">
        <v>161</v>
      </c>
      <c r="D12" s="19" t="s">
        <v>161</v>
      </c>
      <c r="E12" s="19" t="s">
        <v>161</v>
      </c>
      <c r="F12" s="19" t="s">
        <v>161</v>
      </c>
      <c r="G12" s="19" t="s">
        <v>161</v>
      </c>
      <c r="H12" s="19" t="s">
        <v>161</v>
      </c>
      <c r="I12" s="6"/>
      <c r="J12" s="6"/>
      <c r="K12" s="6"/>
      <c r="L12" s="16" t="s">
        <v>155</v>
      </c>
    </row>
    <row r="13" spans="1:12" ht="22.05" customHeight="1" x14ac:dyDescent="0.3">
      <c r="A13" s="14">
        <v>0.41666666666666669</v>
      </c>
      <c r="B13" s="20" t="s">
        <v>162</v>
      </c>
      <c r="C13" s="20" t="s">
        <v>162</v>
      </c>
      <c r="D13" s="20" t="s">
        <v>162</v>
      </c>
      <c r="E13" s="20" t="s">
        <v>162</v>
      </c>
      <c r="F13" s="20" t="s">
        <v>162</v>
      </c>
      <c r="G13" s="20" t="s">
        <v>162</v>
      </c>
      <c r="H13" s="20" t="s">
        <v>162</v>
      </c>
      <c r="I13" s="6"/>
      <c r="J13" s="6"/>
      <c r="K13" s="6"/>
      <c r="L13" s="16" t="s">
        <v>155</v>
      </c>
    </row>
    <row r="14" spans="1:12" ht="22.05" customHeight="1" x14ac:dyDescent="0.3">
      <c r="A14" s="14">
        <v>0.47916666666666669</v>
      </c>
      <c r="B14" s="21" t="s">
        <v>163</v>
      </c>
      <c r="C14" s="21" t="s">
        <v>163</v>
      </c>
      <c r="D14" s="21" t="s">
        <v>163</v>
      </c>
      <c r="E14" s="21" t="s">
        <v>163</v>
      </c>
      <c r="F14" s="21" t="s">
        <v>163</v>
      </c>
      <c r="G14" s="21" t="s">
        <v>163</v>
      </c>
      <c r="H14" s="21" t="s">
        <v>163</v>
      </c>
      <c r="I14" s="6"/>
      <c r="J14" s="6"/>
      <c r="K14" s="6"/>
      <c r="L14" s="16" t="s">
        <v>155</v>
      </c>
    </row>
    <row r="15" spans="1:12" ht="22.05" customHeight="1" x14ac:dyDescent="0.3">
      <c r="A15" s="14">
        <v>0.5</v>
      </c>
      <c r="B15" s="18" t="s">
        <v>164</v>
      </c>
      <c r="C15" s="18" t="s">
        <v>164</v>
      </c>
      <c r="D15" s="18" t="s">
        <v>164</v>
      </c>
      <c r="E15" s="18" t="s">
        <v>164</v>
      </c>
      <c r="F15" s="18" t="s">
        <v>164</v>
      </c>
      <c r="G15" s="18" t="s">
        <v>164</v>
      </c>
      <c r="H15" s="18" t="s">
        <v>164</v>
      </c>
      <c r="I15" s="6"/>
      <c r="J15" s="6"/>
      <c r="K15" s="6"/>
      <c r="L15" s="16" t="s">
        <v>155</v>
      </c>
    </row>
    <row r="16" spans="1:12" ht="22.05" customHeight="1" x14ac:dyDescent="0.3">
      <c r="A16" s="14">
        <v>0.54166666666666663</v>
      </c>
      <c r="B16" s="22" t="s">
        <v>165</v>
      </c>
      <c r="C16" s="22" t="s">
        <v>165</v>
      </c>
      <c r="D16" s="22" t="s">
        <v>165</v>
      </c>
      <c r="E16" s="22" t="s">
        <v>165</v>
      </c>
      <c r="F16" s="22" t="s">
        <v>165</v>
      </c>
      <c r="G16" s="22" t="s">
        <v>165</v>
      </c>
      <c r="H16" s="22" t="s">
        <v>165</v>
      </c>
      <c r="I16" s="6"/>
      <c r="J16" s="6"/>
      <c r="K16" s="6"/>
      <c r="L16" s="16" t="s">
        <v>155</v>
      </c>
    </row>
    <row r="17" spans="1:12" ht="22.05" customHeight="1" x14ac:dyDescent="0.3">
      <c r="A17" s="14">
        <v>0.5625</v>
      </c>
      <c r="B17" s="20" t="s">
        <v>166</v>
      </c>
      <c r="C17" s="20" t="s">
        <v>166</v>
      </c>
      <c r="D17" s="20" t="s">
        <v>166</v>
      </c>
      <c r="E17" s="20" t="s">
        <v>166</v>
      </c>
      <c r="F17" s="20" t="s">
        <v>166</v>
      </c>
      <c r="G17" s="20" t="s">
        <v>166</v>
      </c>
      <c r="H17" s="20" t="s">
        <v>166</v>
      </c>
      <c r="I17" s="6"/>
      <c r="J17" s="6"/>
      <c r="K17" s="6"/>
      <c r="L17" s="16" t="s">
        <v>155</v>
      </c>
    </row>
    <row r="18" spans="1:12" ht="22.05" customHeight="1" x14ac:dyDescent="0.3">
      <c r="A18" s="14">
        <v>0.625</v>
      </c>
      <c r="B18" s="23" t="s">
        <v>167</v>
      </c>
      <c r="C18" s="23" t="s">
        <v>167</v>
      </c>
      <c r="D18" s="23" t="s">
        <v>167</v>
      </c>
      <c r="E18" s="23" t="s">
        <v>167</v>
      </c>
      <c r="F18" s="23" t="s">
        <v>167</v>
      </c>
      <c r="G18" s="23" t="s">
        <v>167</v>
      </c>
      <c r="H18" s="23" t="s">
        <v>167</v>
      </c>
      <c r="I18" s="6"/>
      <c r="J18" s="6"/>
      <c r="K18" s="6"/>
      <c r="L18" s="16" t="s">
        <v>155</v>
      </c>
    </row>
    <row r="19" spans="1:12" ht="22.05" customHeight="1" x14ac:dyDescent="0.3">
      <c r="A19" s="14">
        <v>0.66666666666666663</v>
      </c>
      <c r="B19" s="19" t="s">
        <v>161</v>
      </c>
      <c r="C19" s="19" t="s">
        <v>161</v>
      </c>
      <c r="D19" s="19" t="s">
        <v>161</v>
      </c>
      <c r="E19" s="19" t="s">
        <v>161</v>
      </c>
      <c r="F19" s="19" t="s">
        <v>161</v>
      </c>
      <c r="G19" s="19" t="s">
        <v>161</v>
      </c>
      <c r="H19" s="19" t="s">
        <v>161</v>
      </c>
      <c r="I19" s="6"/>
      <c r="J19" s="6"/>
      <c r="K19" s="6"/>
      <c r="L19" s="16" t="s">
        <v>155</v>
      </c>
    </row>
    <row r="20" spans="1:12" ht="22.05" customHeight="1" x14ac:dyDescent="0.3">
      <c r="A20" s="14">
        <v>0.6875</v>
      </c>
      <c r="B20" s="24" t="s">
        <v>168</v>
      </c>
      <c r="C20" s="24" t="s">
        <v>168</v>
      </c>
      <c r="D20" s="24" t="s">
        <v>168</v>
      </c>
      <c r="E20" s="24" t="s">
        <v>168</v>
      </c>
      <c r="F20" s="24" t="s">
        <v>168</v>
      </c>
      <c r="G20" s="24" t="s">
        <v>168</v>
      </c>
      <c r="H20" s="24" t="s">
        <v>168</v>
      </c>
      <c r="I20" s="6"/>
      <c r="J20" s="6"/>
      <c r="K20" s="6"/>
      <c r="L20" s="16" t="s">
        <v>155</v>
      </c>
    </row>
    <row r="21" spans="1:12" ht="22.05" customHeight="1" x14ac:dyDescent="0.3">
      <c r="A21" s="14">
        <v>0.75</v>
      </c>
      <c r="B21" s="19" t="s">
        <v>169</v>
      </c>
      <c r="C21" s="19" t="s">
        <v>169</v>
      </c>
      <c r="D21" s="19" t="s">
        <v>169</v>
      </c>
      <c r="E21" s="19" t="s">
        <v>169</v>
      </c>
      <c r="F21" s="19" t="s">
        <v>169</v>
      </c>
      <c r="G21" s="19" t="s">
        <v>169</v>
      </c>
      <c r="H21" s="19" t="s">
        <v>169</v>
      </c>
      <c r="I21" s="6"/>
      <c r="J21" s="6"/>
      <c r="K21" s="6"/>
      <c r="L21" s="16" t="s">
        <v>155</v>
      </c>
    </row>
    <row r="22" spans="1:12" ht="22.05" customHeight="1" x14ac:dyDescent="0.3">
      <c r="A22" s="14">
        <v>0.77083333333333337</v>
      </c>
      <c r="B22" s="18" t="s">
        <v>170</v>
      </c>
      <c r="C22" s="18" t="s">
        <v>170</v>
      </c>
      <c r="D22" s="18" t="s">
        <v>170</v>
      </c>
      <c r="E22" s="18" t="s">
        <v>170</v>
      </c>
      <c r="F22" s="18" t="s">
        <v>170</v>
      </c>
      <c r="G22" s="18" t="s">
        <v>170</v>
      </c>
      <c r="H22" s="18" t="s">
        <v>170</v>
      </c>
      <c r="I22" s="6"/>
      <c r="J22" s="6"/>
      <c r="K22" s="6"/>
      <c r="L22" s="16" t="s">
        <v>155</v>
      </c>
    </row>
    <row r="23" spans="1:12" ht="22.05" customHeight="1" x14ac:dyDescent="0.3">
      <c r="A23" s="14">
        <v>0.79166666666666663</v>
      </c>
      <c r="B23" s="20" t="s">
        <v>171</v>
      </c>
      <c r="C23" s="20" t="s">
        <v>171</v>
      </c>
      <c r="D23" s="20" t="s">
        <v>171</v>
      </c>
      <c r="E23" s="20" t="s">
        <v>171</v>
      </c>
      <c r="F23" s="20" t="s">
        <v>171</v>
      </c>
      <c r="G23" s="20" t="s">
        <v>171</v>
      </c>
      <c r="H23" s="20" t="s">
        <v>171</v>
      </c>
      <c r="I23" s="6"/>
      <c r="J23" s="6"/>
      <c r="K23" s="6"/>
      <c r="L23" s="16" t="s">
        <v>155</v>
      </c>
    </row>
    <row r="24" spans="1:12" ht="22.05" customHeight="1" x14ac:dyDescent="0.3">
      <c r="A24" s="14">
        <v>0.83333333333333337</v>
      </c>
      <c r="B24" s="23" t="s">
        <v>172</v>
      </c>
      <c r="C24" s="23" t="s">
        <v>172</v>
      </c>
      <c r="D24" s="23" t="s">
        <v>172</v>
      </c>
      <c r="E24" s="23" t="s">
        <v>172</v>
      </c>
      <c r="F24" s="23" t="s">
        <v>172</v>
      </c>
      <c r="G24" s="23" t="s">
        <v>172</v>
      </c>
      <c r="H24" s="23" t="s">
        <v>172</v>
      </c>
      <c r="I24" s="6"/>
      <c r="J24" s="6"/>
      <c r="K24" s="6"/>
      <c r="L24" s="16" t="s">
        <v>155</v>
      </c>
    </row>
    <row r="25" spans="1:12" ht="22.05" customHeight="1" x14ac:dyDescent="0.3">
      <c r="A25" s="14">
        <v>0.85416666666666663</v>
      </c>
      <c r="B25" s="22" t="s">
        <v>173</v>
      </c>
      <c r="C25" s="22" t="s">
        <v>173</v>
      </c>
      <c r="D25" s="22" t="s">
        <v>173</v>
      </c>
      <c r="E25" s="22" t="s">
        <v>173</v>
      </c>
      <c r="F25" s="22" t="s">
        <v>173</v>
      </c>
      <c r="G25" s="22" t="s">
        <v>173</v>
      </c>
      <c r="H25" s="22" t="s">
        <v>173</v>
      </c>
      <c r="I25" s="6"/>
      <c r="J25" s="6"/>
      <c r="K25" s="6"/>
      <c r="L25" s="16" t="s">
        <v>155</v>
      </c>
    </row>
    <row r="26" spans="1:12" ht="22.05" customHeight="1" x14ac:dyDescent="0.3">
      <c r="A26" s="14">
        <v>0.875</v>
      </c>
      <c r="B26" s="22" t="s">
        <v>174</v>
      </c>
      <c r="C26" s="22" t="s">
        <v>174</v>
      </c>
      <c r="D26" s="22" t="s">
        <v>174</v>
      </c>
      <c r="E26" s="22" t="s">
        <v>174</v>
      </c>
      <c r="F26" s="22" t="s">
        <v>174</v>
      </c>
      <c r="G26" s="22" t="s">
        <v>174</v>
      </c>
      <c r="H26" s="22" t="s">
        <v>174</v>
      </c>
      <c r="I26" s="6"/>
      <c r="J26" s="6"/>
      <c r="K26" s="6"/>
      <c r="L26" s="16" t="s">
        <v>155</v>
      </c>
    </row>
    <row r="27" spans="1:12" ht="22.05" customHeight="1" x14ac:dyDescent="0.3">
      <c r="A27" s="14">
        <v>0.89583333333333337</v>
      </c>
      <c r="B27" s="17" t="s">
        <v>175</v>
      </c>
      <c r="C27" s="17" t="s">
        <v>175</v>
      </c>
      <c r="D27" s="17" t="s">
        <v>175</v>
      </c>
      <c r="E27" s="17" t="s">
        <v>175</v>
      </c>
      <c r="F27" s="17" t="s">
        <v>175</v>
      </c>
      <c r="G27" s="17" t="s">
        <v>175</v>
      </c>
      <c r="H27" s="17" t="s">
        <v>175</v>
      </c>
      <c r="I27" s="6"/>
      <c r="J27" s="6"/>
      <c r="K27" s="6"/>
      <c r="L27" s="16" t="s">
        <v>155</v>
      </c>
    </row>
    <row r="28" spans="1:12" ht="22.05" customHeight="1" x14ac:dyDescent="0.3">
      <c r="A28" s="14">
        <v>0.91666666666666663</v>
      </c>
      <c r="B28" s="25" t="s">
        <v>176</v>
      </c>
      <c r="C28" s="25" t="s">
        <v>176</v>
      </c>
      <c r="D28" s="25" t="s">
        <v>176</v>
      </c>
      <c r="E28" s="25" t="s">
        <v>176</v>
      </c>
      <c r="F28" s="25" t="s">
        <v>176</v>
      </c>
      <c r="G28" s="25" t="s">
        <v>176</v>
      </c>
      <c r="H28" s="25" t="s">
        <v>176</v>
      </c>
      <c r="I28" s="6"/>
      <c r="J28" s="6"/>
      <c r="K28" s="6"/>
      <c r="L28" s="16" t="s">
        <v>155</v>
      </c>
    </row>
  </sheetData>
  <mergeCells count="2">
    <mergeCell ref="A1:L1"/>
    <mergeCell ref="A3:L3"/>
  </mergeCells>
  <hyperlinks>
    <hyperlink ref="A1" location="'Navigation'!A1" tooltip="Back" display="'Navigation'!A1" xr:uid="{9B6598A5-E647-49F6-A27B-540A9FDCA4E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5BE9-F582-42B0-AE8B-8031AB329DE2}">
  <sheetPr codeName="Sheet4"/>
  <dimension ref="A1:K18"/>
  <sheetViews>
    <sheetView workbookViewId="0"/>
  </sheetViews>
  <sheetFormatPr defaultRowHeight="14.4" x14ac:dyDescent="0.3"/>
  <cols>
    <col min="1" max="1" width="22.77734375" customWidth="1"/>
    <col min="2" max="8" width="8.77734375" customWidth="1"/>
    <col min="9" max="10" width="10.77734375" customWidth="1"/>
    <col min="11" max="11" width="18.77734375" customWidth="1"/>
  </cols>
  <sheetData>
    <row r="1" spans="1:11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22.05" customHeight="1" x14ac:dyDescent="0.3">
      <c r="A2" s="146" t="s">
        <v>177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spans="1:11" x14ac:dyDescent="0.3">
      <c r="A3" s="26" t="s">
        <v>178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179</v>
      </c>
      <c r="J3" s="26" t="s">
        <v>180</v>
      </c>
      <c r="K3" s="26" t="s">
        <v>181</v>
      </c>
    </row>
    <row r="4" spans="1:11" ht="25.95" customHeight="1" x14ac:dyDescent="0.35">
      <c r="A4" s="27" t="s">
        <v>182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29">
        <f t="shared" ref="I4:I17" si="0">COUNTIF(B4:H4,"✅")</f>
        <v>0</v>
      </c>
      <c r="J4" s="30">
        <f t="shared" ref="J4:J17" si="1">IFERROR(I4/7,0)</f>
        <v>0</v>
      </c>
      <c r="K4" t="str">
        <f t="shared" ref="K4:K17" si="2">IF(J4&gt;=0.9,"🟢 Excellent",IF(J4&gt;=0.7,"🟡 Good",IF(J4&gt;0,"🔴 Started","⚪ Not Started")))</f>
        <v>⚪ Not Started</v>
      </c>
    </row>
    <row r="5" spans="1:11" ht="25.95" customHeight="1" x14ac:dyDescent="0.35">
      <c r="A5" s="27" t="s">
        <v>183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29">
        <f t="shared" si="0"/>
        <v>0</v>
      </c>
      <c r="J5" s="30">
        <f t="shared" si="1"/>
        <v>0</v>
      </c>
      <c r="K5" t="str">
        <f t="shared" si="2"/>
        <v>⚪ Not Started</v>
      </c>
    </row>
    <row r="6" spans="1:11" ht="25.95" customHeight="1" x14ac:dyDescent="0.35">
      <c r="A6" s="27" t="s">
        <v>184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29">
        <f t="shared" si="0"/>
        <v>0</v>
      </c>
      <c r="J6" s="30">
        <f t="shared" si="1"/>
        <v>0</v>
      </c>
      <c r="K6" t="str">
        <f t="shared" si="2"/>
        <v>⚪ Not Started</v>
      </c>
    </row>
    <row r="7" spans="1:11" ht="25.95" customHeight="1" x14ac:dyDescent="0.35">
      <c r="A7" s="27" t="s">
        <v>185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29">
        <f t="shared" si="0"/>
        <v>0</v>
      </c>
      <c r="J7" s="30">
        <f t="shared" si="1"/>
        <v>0</v>
      </c>
      <c r="K7" t="str">
        <f t="shared" si="2"/>
        <v>⚪ Not Started</v>
      </c>
    </row>
    <row r="8" spans="1:11" ht="25.95" customHeight="1" x14ac:dyDescent="0.35">
      <c r="A8" s="27" t="s">
        <v>186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29">
        <f t="shared" si="0"/>
        <v>0</v>
      </c>
      <c r="J8" s="30">
        <f t="shared" si="1"/>
        <v>0</v>
      </c>
      <c r="K8" t="str">
        <f t="shared" si="2"/>
        <v>⚪ Not Started</v>
      </c>
    </row>
    <row r="9" spans="1:11" ht="25.95" customHeight="1" x14ac:dyDescent="0.35">
      <c r="A9" s="27" t="s">
        <v>187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29">
        <f t="shared" si="0"/>
        <v>0</v>
      </c>
      <c r="J9" s="30">
        <f t="shared" si="1"/>
        <v>0</v>
      </c>
      <c r="K9" t="str">
        <f t="shared" si="2"/>
        <v>⚪ Not Started</v>
      </c>
    </row>
    <row r="10" spans="1:11" ht="25.95" customHeight="1" x14ac:dyDescent="0.35">
      <c r="A10" s="27" t="s">
        <v>188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29">
        <f t="shared" si="0"/>
        <v>0</v>
      </c>
      <c r="J10" s="30">
        <f t="shared" si="1"/>
        <v>0</v>
      </c>
      <c r="K10" t="str">
        <f t="shared" si="2"/>
        <v>⚪ Not Started</v>
      </c>
    </row>
    <row r="11" spans="1:11" ht="25.95" customHeight="1" x14ac:dyDescent="0.35">
      <c r="A11" s="27" t="s">
        <v>189</v>
      </c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29">
        <f t="shared" si="0"/>
        <v>0</v>
      </c>
      <c r="J11" s="30">
        <f t="shared" si="1"/>
        <v>0</v>
      </c>
      <c r="K11" t="str">
        <f t="shared" si="2"/>
        <v>⚪ Not Started</v>
      </c>
    </row>
    <row r="12" spans="1:11" ht="25.95" customHeight="1" x14ac:dyDescent="0.35">
      <c r="A12" s="27" t="s">
        <v>190</v>
      </c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29">
        <f t="shared" si="0"/>
        <v>0</v>
      </c>
      <c r="J12" s="30">
        <f t="shared" si="1"/>
        <v>0</v>
      </c>
      <c r="K12" t="str">
        <f t="shared" si="2"/>
        <v>⚪ Not Started</v>
      </c>
    </row>
    <row r="13" spans="1:11" ht="25.95" customHeight="1" x14ac:dyDescent="0.35">
      <c r="A13" s="27" t="s">
        <v>191</v>
      </c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29">
        <f t="shared" si="0"/>
        <v>0</v>
      </c>
      <c r="J13" s="30">
        <f t="shared" si="1"/>
        <v>0</v>
      </c>
      <c r="K13" t="str">
        <f t="shared" si="2"/>
        <v>⚪ Not Started</v>
      </c>
    </row>
    <row r="14" spans="1:11" ht="25.95" customHeight="1" x14ac:dyDescent="0.35">
      <c r="A14" s="27" t="s">
        <v>192</v>
      </c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29">
        <f t="shared" si="0"/>
        <v>0</v>
      </c>
      <c r="J14" s="30">
        <f t="shared" si="1"/>
        <v>0</v>
      </c>
      <c r="K14" t="str">
        <f t="shared" si="2"/>
        <v>⚪ Not Started</v>
      </c>
    </row>
    <row r="15" spans="1:11" ht="25.95" customHeight="1" x14ac:dyDescent="0.35">
      <c r="A15" s="27" t="s">
        <v>193</v>
      </c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29">
        <f t="shared" si="0"/>
        <v>0</v>
      </c>
      <c r="J15" s="30">
        <f t="shared" si="1"/>
        <v>0</v>
      </c>
      <c r="K15" t="str">
        <f t="shared" si="2"/>
        <v>⚪ Not Started</v>
      </c>
    </row>
    <row r="16" spans="1:11" ht="25.95" customHeight="1" x14ac:dyDescent="0.35">
      <c r="A16" s="27" t="s">
        <v>194</v>
      </c>
      <c r="B16" s="28" t="s">
        <v>155</v>
      </c>
      <c r="C16" s="28" t="s">
        <v>155</v>
      </c>
      <c r="D16" s="28" t="s">
        <v>155</v>
      </c>
      <c r="E16" s="28" t="s">
        <v>155</v>
      </c>
      <c r="F16" s="28" t="s">
        <v>155</v>
      </c>
      <c r="G16" s="28" t="s">
        <v>155</v>
      </c>
      <c r="H16" s="28" t="s">
        <v>155</v>
      </c>
      <c r="I16" s="29">
        <f t="shared" si="0"/>
        <v>0</v>
      </c>
      <c r="J16" s="30">
        <f t="shared" si="1"/>
        <v>0</v>
      </c>
      <c r="K16" t="str">
        <f t="shared" si="2"/>
        <v>⚪ Not Started</v>
      </c>
    </row>
    <row r="17" spans="1:11" ht="25.95" customHeight="1" x14ac:dyDescent="0.35">
      <c r="A17" s="27" t="s">
        <v>195</v>
      </c>
      <c r="B17" s="28" t="s">
        <v>155</v>
      </c>
      <c r="C17" s="28" t="s">
        <v>155</v>
      </c>
      <c r="D17" s="28" t="s">
        <v>155</v>
      </c>
      <c r="E17" s="28" t="s">
        <v>155</v>
      </c>
      <c r="F17" s="28" t="s">
        <v>155</v>
      </c>
      <c r="G17" s="28" t="s">
        <v>155</v>
      </c>
      <c r="H17" s="28" t="s">
        <v>155</v>
      </c>
      <c r="I17" s="29">
        <f t="shared" si="0"/>
        <v>0</v>
      </c>
      <c r="J17" s="30">
        <f t="shared" si="1"/>
        <v>0</v>
      </c>
      <c r="K17" t="str">
        <f t="shared" si="2"/>
        <v>⚪ Not Started</v>
      </c>
    </row>
    <row r="18" spans="1:11" ht="28.05" customHeight="1" x14ac:dyDescent="0.3">
      <c r="A18" s="31" t="s">
        <v>196</v>
      </c>
      <c r="B18" s="32">
        <f t="shared" ref="B18:H18" si="3">COUNTIF(B4:B17,"✅")</f>
        <v>0</v>
      </c>
      <c r="C18" s="32">
        <f t="shared" si="3"/>
        <v>0</v>
      </c>
      <c r="D18" s="32">
        <f t="shared" si="3"/>
        <v>0</v>
      </c>
      <c r="E18" s="32">
        <f t="shared" si="3"/>
        <v>0</v>
      </c>
      <c r="F18" s="32">
        <f t="shared" si="3"/>
        <v>0</v>
      </c>
      <c r="G18" s="32">
        <f t="shared" si="3"/>
        <v>0</v>
      </c>
      <c r="H18" s="32">
        <f t="shared" si="3"/>
        <v>0</v>
      </c>
    </row>
  </sheetData>
  <mergeCells count="2">
    <mergeCell ref="A1:K1"/>
    <mergeCell ref="A2:K2"/>
  </mergeCells>
  <dataValidations count="1">
    <dataValidation type="list" allowBlank="1" showInputMessage="1" showErrorMessage="1" sqref="B4:H17" xr:uid="{C108C0A5-2BF6-4A6B-A7BF-DE8B0BB04498}">
      <formula1>"✅,☐"</formula1>
    </dataValidation>
  </dataValidations>
  <hyperlinks>
    <hyperlink ref="A1" location="'Navigation'!A1" tooltip="Back" display="'Navigation'!A1" xr:uid="{C46EBD14-BB91-487C-B79D-31D328E913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C46C-6625-4008-A6B0-2094407BC6D3}">
  <sheetPr codeName="Sheet5"/>
  <dimension ref="A1:I18"/>
  <sheetViews>
    <sheetView workbookViewId="0"/>
  </sheetViews>
  <sheetFormatPr defaultRowHeight="14.4" x14ac:dyDescent="0.3"/>
  <cols>
    <col min="1" max="1" width="20.77734375" customWidth="1"/>
    <col min="2" max="2" width="8.77734375" customWidth="1"/>
    <col min="3" max="3" width="3.77734375" customWidth="1"/>
    <col min="4" max="4" width="20.77734375" customWidth="1"/>
    <col min="5" max="5" width="8.77734375" customWidth="1"/>
    <col min="6" max="6" width="3.77734375" customWidth="1"/>
    <col min="7" max="7" width="20.77734375" customWidth="1"/>
    <col min="8" max="8" width="8.77734375" customWidth="1"/>
    <col min="9" max="9" width="3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ht="30" customHeight="1" x14ac:dyDescent="0.35">
      <c r="A3" s="147" t="s">
        <v>197</v>
      </c>
      <c r="B3" s="147"/>
      <c r="C3" s="147"/>
      <c r="D3" s="148" t="s">
        <v>198</v>
      </c>
      <c r="E3" s="148"/>
      <c r="F3" s="148"/>
      <c r="G3" s="149" t="s">
        <v>199</v>
      </c>
      <c r="H3" s="149"/>
      <c r="I3" s="149"/>
    </row>
    <row r="4" spans="1:9" ht="25.95" customHeight="1" x14ac:dyDescent="0.3">
      <c r="A4" s="150" t="s">
        <v>200</v>
      </c>
      <c r="B4" s="121"/>
      <c r="C4" s="121"/>
      <c r="D4" s="150" t="s">
        <v>200</v>
      </c>
      <c r="E4" s="121"/>
      <c r="F4" s="121"/>
      <c r="G4" s="150" t="s">
        <v>200</v>
      </c>
      <c r="H4" s="121"/>
      <c r="I4" s="121"/>
    </row>
    <row r="5" spans="1:9" ht="25.95" customHeight="1" x14ac:dyDescent="0.3">
      <c r="A5" s="150" t="s">
        <v>201</v>
      </c>
      <c r="B5" s="121"/>
      <c r="C5" s="121"/>
      <c r="D5" s="150" t="s">
        <v>201</v>
      </c>
      <c r="E5" s="121"/>
      <c r="F5" s="121"/>
      <c r="G5" s="150" t="s">
        <v>201</v>
      </c>
      <c r="H5" s="121"/>
      <c r="I5" s="121"/>
    </row>
    <row r="6" spans="1:9" ht="25.95" customHeight="1" x14ac:dyDescent="0.3">
      <c r="A6" s="150" t="s">
        <v>202</v>
      </c>
      <c r="B6" s="121"/>
      <c r="C6" s="121"/>
      <c r="D6" s="150" t="s">
        <v>202</v>
      </c>
      <c r="E6" s="121"/>
      <c r="F6" s="121"/>
      <c r="G6" s="150" t="s">
        <v>202</v>
      </c>
      <c r="H6" s="121"/>
      <c r="I6" s="121"/>
    </row>
    <row r="7" spans="1:9" ht="25.95" customHeight="1" x14ac:dyDescent="0.3">
      <c r="A7" s="150" t="s">
        <v>203</v>
      </c>
      <c r="B7" s="121"/>
      <c r="C7" s="121"/>
      <c r="D7" s="150" t="s">
        <v>203</v>
      </c>
      <c r="E7" s="121"/>
      <c r="F7" s="121"/>
      <c r="G7" s="150" t="s">
        <v>203</v>
      </c>
      <c r="H7" s="121"/>
      <c r="I7" s="121"/>
    </row>
    <row r="8" spans="1:9" ht="25.95" customHeight="1" x14ac:dyDescent="0.3">
      <c r="A8" s="150" t="s">
        <v>204</v>
      </c>
      <c r="B8" s="121"/>
      <c r="C8" s="121"/>
      <c r="D8" s="150" t="s">
        <v>204</v>
      </c>
      <c r="E8" s="121"/>
      <c r="F8" s="121"/>
      <c r="G8" s="150" t="s">
        <v>204</v>
      </c>
      <c r="H8" s="121"/>
      <c r="I8" s="121"/>
    </row>
    <row r="9" spans="1:9" ht="25.95" customHeight="1" x14ac:dyDescent="0.3">
      <c r="A9" s="150" t="s">
        <v>205</v>
      </c>
      <c r="B9" s="121"/>
      <c r="C9" s="121"/>
      <c r="D9" s="150" t="s">
        <v>205</v>
      </c>
      <c r="E9" s="121"/>
      <c r="F9" s="121"/>
      <c r="G9" s="150" t="s">
        <v>205</v>
      </c>
      <c r="H9" s="121"/>
      <c r="I9" s="121"/>
    </row>
    <row r="10" spans="1:9" ht="25.95" customHeight="1" x14ac:dyDescent="0.3">
      <c r="A10" s="150" t="s">
        <v>206</v>
      </c>
      <c r="B10" s="121"/>
      <c r="C10" s="121"/>
      <c r="D10" s="150" t="s">
        <v>206</v>
      </c>
      <c r="E10" s="121"/>
      <c r="F10" s="121"/>
      <c r="G10" s="150" t="s">
        <v>206</v>
      </c>
      <c r="H10" s="121"/>
      <c r="I10" s="121"/>
    </row>
    <row r="11" spans="1:9" ht="25.95" customHeight="1" x14ac:dyDescent="0.3">
      <c r="A11" s="150" t="s">
        <v>207</v>
      </c>
      <c r="B11" s="121"/>
      <c r="C11" s="121"/>
      <c r="D11" s="150" t="s">
        <v>207</v>
      </c>
      <c r="E11" s="121"/>
      <c r="F11" s="121"/>
      <c r="G11" s="150" t="s">
        <v>207</v>
      </c>
      <c r="H11" s="121"/>
      <c r="I11" s="121"/>
    </row>
    <row r="12" spans="1:9" ht="25.95" customHeight="1" x14ac:dyDescent="0.3">
      <c r="A12" s="150" t="s">
        <v>208</v>
      </c>
      <c r="B12" s="121"/>
      <c r="C12" s="121"/>
      <c r="D12" s="150" t="s">
        <v>208</v>
      </c>
      <c r="E12" s="121"/>
      <c r="F12" s="121"/>
      <c r="G12" s="150" t="s">
        <v>208</v>
      </c>
      <c r="H12" s="121"/>
      <c r="I12" s="121"/>
    </row>
    <row r="13" spans="1:9" ht="25.95" customHeight="1" x14ac:dyDescent="0.3">
      <c r="A13" s="150" t="s">
        <v>209</v>
      </c>
      <c r="B13" s="121"/>
      <c r="C13" s="121"/>
      <c r="D13" s="150" t="s">
        <v>209</v>
      </c>
      <c r="E13" s="121"/>
      <c r="F13" s="121"/>
      <c r="G13" s="150" t="s">
        <v>209</v>
      </c>
      <c r="H13" s="121"/>
      <c r="I13" s="121"/>
    </row>
    <row r="14" spans="1:9" ht="25.95" customHeight="1" x14ac:dyDescent="0.3">
      <c r="A14" s="150" t="s">
        <v>210</v>
      </c>
      <c r="B14" s="121"/>
      <c r="C14" s="121"/>
      <c r="D14" s="150" t="s">
        <v>210</v>
      </c>
      <c r="E14" s="121"/>
      <c r="F14" s="121"/>
      <c r="G14" s="150" t="s">
        <v>210</v>
      </c>
      <c r="H14" s="121"/>
      <c r="I14" s="121"/>
    </row>
    <row r="15" spans="1:9" ht="25.95" customHeight="1" x14ac:dyDescent="0.3">
      <c r="A15" s="150" t="s">
        <v>211</v>
      </c>
      <c r="B15" s="121"/>
      <c r="C15" s="121"/>
      <c r="D15" s="150" t="s">
        <v>211</v>
      </c>
      <c r="E15" s="121"/>
      <c r="F15" s="121"/>
      <c r="G15" s="150" t="s">
        <v>211</v>
      </c>
      <c r="H15" s="121"/>
      <c r="I15" s="121"/>
    </row>
    <row r="16" spans="1:9" ht="25.95" customHeight="1" x14ac:dyDescent="0.3">
      <c r="A16" s="150" t="s">
        <v>212</v>
      </c>
      <c r="B16" s="121"/>
      <c r="C16" s="121"/>
      <c r="D16" s="150" t="s">
        <v>212</v>
      </c>
      <c r="E16" s="121"/>
      <c r="F16" s="121"/>
      <c r="G16" s="150" t="s">
        <v>212</v>
      </c>
      <c r="H16" s="121"/>
      <c r="I16" s="121"/>
    </row>
    <row r="17" spans="1:9" ht="25.95" customHeight="1" x14ac:dyDescent="0.3">
      <c r="A17" s="150" t="s">
        <v>213</v>
      </c>
      <c r="B17" s="121"/>
      <c r="C17" s="121"/>
      <c r="D17" s="150" t="s">
        <v>213</v>
      </c>
      <c r="E17" s="121"/>
      <c r="F17" s="121"/>
      <c r="G17" s="150" t="s">
        <v>213</v>
      </c>
      <c r="H17" s="121"/>
      <c r="I17" s="121"/>
    </row>
    <row r="18" spans="1:9" ht="25.95" customHeight="1" x14ac:dyDescent="0.3">
      <c r="A18" s="150" t="s">
        <v>214</v>
      </c>
      <c r="B18" s="121"/>
      <c r="C18" s="121"/>
      <c r="D18" s="150" t="s">
        <v>214</v>
      </c>
      <c r="E18" s="121"/>
      <c r="F18" s="121"/>
      <c r="G18" s="150" t="s">
        <v>214</v>
      </c>
      <c r="H18" s="121"/>
      <c r="I18" s="121"/>
    </row>
  </sheetData>
  <mergeCells count="49"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11:C11"/>
    <mergeCell ref="D11:F11"/>
    <mergeCell ref="G11:I11"/>
    <mergeCell ref="A12:C12"/>
    <mergeCell ref="D12:F12"/>
    <mergeCell ref="G12:I12"/>
    <mergeCell ref="A9:C9"/>
    <mergeCell ref="D9:F9"/>
    <mergeCell ref="G9:I9"/>
    <mergeCell ref="A10:C10"/>
    <mergeCell ref="D10:F10"/>
    <mergeCell ref="G10:I10"/>
    <mergeCell ref="A7:C7"/>
    <mergeCell ref="D7:F7"/>
    <mergeCell ref="G7:I7"/>
    <mergeCell ref="A8:C8"/>
    <mergeCell ref="D8:F8"/>
    <mergeCell ref="G8:I8"/>
    <mergeCell ref="A5:C5"/>
    <mergeCell ref="D5:F5"/>
    <mergeCell ref="G5:I5"/>
    <mergeCell ref="A6:C6"/>
    <mergeCell ref="D6:F6"/>
    <mergeCell ref="G6:I6"/>
    <mergeCell ref="A1:I1"/>
    <mergeCell ref="A3:C3"/>
    <mergeCell ref="D3:F3"/>
    <mergeCell ref="G3:I3"/>
    <mergeCell ref="A4:C4"/>
    <mergeCell ref="D4:F4"/>
    <mergeCell ref="G4:I4"/>
  </mergeCells>
  <hyperlinks>
    <hyperlink ref="A1" location="'Navigation'!A1" tooltip="Back" display="'Navigation'!A1" xr:uid="{0B6F7350-D9EA-4A36-AF0F-58A6D5EC0AB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388C-FB81-4D77-9D9E-CB07FC842E46}">
  <sheetPr codeName="Sheet6"/>
  <dimension ref="A1:F12"/>
  <sheetViews>
    <sheetView workbookViewId="0"/>
  </sheetViews>
  <sheetFormatPr defaultRowHeight="14.4" x14ac:dyDescent="0.3"/>
  <cols>
    <col min="1" max="1" width="32.77734375" customWidth="1"/>
    <col min="2" max="6" width="20.77734375" customWidth="1"/>
  </cols>
  <sheetData>
    <row r="1" spans="1:6" ht="34.049999999999997" customHeight="1" x14ac:dyDescent="0.3">
      <c r="A1" s="143" t="s">
        <v>134</v>
      </c>
      <c r="B1" s="116"/>
      <c r="C1" s="116"/>
      <c r="D1" s="116"/>
      <c r="E1" s="116"/>
      <c r="F1" s="116"/>
    </row>
    <row r="3" spans="1:6" ht="45" customHeight="1" x14ac:dyDescent="0.3">
      <c r="A3" s="33" t="s">
        <v>215</v>
      </c>
      <c r="B3" s="151"/>
      <c r="C3" s="152"/>
      <c r="D3" s="152"/>
      <c r="E3" s="152"/>
      <c r="F3" s="152"/>
    </row>
    <row r="4" spans="1:6" ht="45" customHeight="1" x14ac:dyDescent="0.3">
      <c r="A4" s="33" t="s">
        <v>216</v>
      </c>
      <c r="B4" s="151"/>
      <c r="C4" s="152"/>
      <c r="D4" s="152"/>
      <c r="E4" s="152"/>
      <c r="F4" s="152"/>
    </row>
    <row r="5" spans="1:6" ht="45" customHeight="1" x14ac:dyDescent="0.3">
      <c r="A5" s="33" t="s">
        <v>217</v>
      </c>
      <c r="B5" s="151"/>
      <c r="C5" s="152"/>
      <c r="D5" s="152"/>
      <c r="E5" s="152"/>
      <c r="F5" s="152"/>
    </row>
    <row r="6" spans="1:6" ht="45" customHeight="1" x14ac:dyDescent="0.3">
      <c r="A6" s="33" t="s">
        <v>218</v>
      </c>
      <c r="B6" s="151"/>
      <c r="C6" s="152"/>
      <c r="D6" s="152"/>
      <c r="E6" s="152"/>
      <c r="F6" s="152"/>
    </row>
    <row r="7" spans="1:6" ht="45" customHeight="1" x14ac:dyDescent="0.3">
      <c r="A7" s="33" t="s">
        <v>219</v>
      </c>
      <c r="B7" s="151"/>
      <c r="C7" s="152"/>
      <c r="D7" s="152"/>
      <c r="E7" s="152"/>
      <c r="F7" s="152"/>
    </row>
    <row r="8" spans="1:6" ht="45" customHeight="1" x14ac:dyDescent="0.3">
      <c r="A8" s="33" t="s">
        <v>220</v>
      </c>
      <c r="B8" s="151"/>
      <c r="C8" s="152"/>
      <c r="D8" s="152"/>
      <c r="E8" s="152"/>
      <c r="F8" s="152"/>
    </row>
    <row r="9" spans="1:6" ht="45" customHeight="1" x14ac:dyDescent="0.3">
      <c r="A9" s="33" t="s">
        <v>221</v>
      </c>
      <c r="B9" s="151"/>
      <c r="C9" s="152"/>
      <c r="D9" s="152"/>
      <c r="E9" s="152"/>
      <c r="F9" s="152"/>
    </row>
    <row r="10" spans="1:6" ht="45" customHeight="1" x14ac:dyDescent="0.3">
      <c r="A10" s="33" t="s">
        <v>222</v>
      </c>
      <c r="B10" s="151"/>
      <c r="C10" s="152"/>
      <c r="D10" s="152"/>
      <c r="E10" s="152"/>
      <c r="F10" s="152"/>
    </row>
    <row r="11" spans="1:6" ht="45" customHeight="1" x14ac:dyDescent="0.3">
      <c r="A11" s="33" t="s">
        <v>223</v>
      </c>
      <c r="B11" s="151"/>
      <c r="C11" s="152"/>
      <c r="D11" s="152"/>
      <c r="E11" s="152"/>
      <c r="F11" s="152"/>
    </row>
    <row r="12" spans="1:6" ht="45" customHeight="1" x14ac:dyDescent="0.3">
      <c r="A12" s="33" t="s">
        <v>224</v>
      </c>
      <c r="B12" s="151"/>
      <c r="C12" s="152"/>
      <c r="D12" s="152"/>
      <c r="E12" s="152"/>
      <c r="F12" s="152"/>
    </row>
  </sheetData>
  <mergeCells count="11">
    <mergeCell ref="B8:F8"/>
    <mergeCell ref="B9:F9"/>
    <mergeCell ref="B10:F10"/>
    <mergeCell ref="B11:F11"/>
    <mergeCell ref="B12:F12"/>
    <mergeCell ref="B7:F7"/>
    <mergeCell ref="A1:F1"/>
    <mergeCell ref="B3:F3"/>
    <mergeCell ref="B4:F4"/>
    <mergeCell ref="B5:F5"/>
    <mergeCell ref="B6:F6"/>
  </mergeCells>
  <hyperlinks>
    <hyperlink ref="A1" location="'Navigation'!A1" tooltip="Back" display="'Navigation'!A1" xr:uid="{F897FEE4-E766-42CC-AC8F-B3B604DDEB8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295F-80CB-4441-9888-B3A3F8611D47}">
  <sheetPr codeName="Sheet7"/>
  <dimension ref="A1:I14"/>
  <sheetViews>
    <sheetView workbookViewId="0"/>
  </sheetViews>
  <sheetFormatPr defaultRowHeight="14.4" x14ac:dyDescent="0.3"/>
  <cols>
    <col min="1" max="1" width="32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ht="28.05" customHeight="1" x14ac:dyDescent="0.3">
      <c r="A3" s="26" t="s">
        <v>225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34" t="s">
        <v>226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3" si="0">IFERROR(COUNTIF(B4:H4,"✅")/7,0)</f>
        <v>0</v>
      </c>
    </row>
    <row r="5" spans="1:9" ht="25.05" customHeight="1" x14ac:dyDescent="0.35">
      <c r="A5" s="34" t="s">
        <v>227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34" t="s">
        <v>228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34" t="s">
        <v>229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34" t="s">
        <v>230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34" t="s">
        <v>231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34" t="s">
        <v>232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4" t="s">
        <v>233</v>
      </c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4" t="s">
        <v>234</v>
      </c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4" t="s">
        <v>235</v>
      </c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x14ac:dyDescent="0.3">
      <c r="A14" s="153" t="s">
        <v>236</v>
      </c>
      <c r="B14" s="153"/>
      <c r="C14" s="153"/>
      <c r="D14" s="153"/>
      <c r="E14" s="153"/>
      <c r="F14" s="153"/>
      <c r="G14" s="153"/>
      <c r="H14" s="153"/>
      <c r="I14" s="36">
        <f>IFERROR(AVERAGE(I4:I13),0)</f>
        <v>0</v>
      </c>
    </row>
  </sheetData>
  <mergeCells count="2">
    <mergeCell ref="A1:I1"/>
    <mergeCell ref="A14:H14"/>
  </mergeCells>
  <dataValidations count="1">
    <dataValidation type="list" allowBlank="1" showInputMessage="1" showErrorMessage="1" sqref="B4:H13" xr:uid="{CE6D9A55-9DB0-40E3-BB0E-DA2CDA4407C0}">
      <formula1>"✅,☐"</formula1>
    </dataValidation>
  </dataValidations>
  <hyperlinks>
    <hyperlink ref="A1" location="'Navigation'!A1" tooltip="Back" display="'Navigation'!A1" xr:uid="{27176003-E926-4052-95A0-0AAE9AAD512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B07F-7824-41B2-850F-2C8EF483FD3E}">
  <sheetPr codeName="Sheet8"/>
  <dimension ref="A1:D21"/>
  <sheetViews>
    <sheetView workbookViewId="0"/>
  </sheetViews>
  <sheetFormatPr defaultRowHeight="14.4" x14ac:dyDescent="0.3"/>
  <cols>
    <col min="1" max="1" width="8.77734375" customWidth="1"/>
    <col min="2" max="2" width="28.77734375" customWidth="1"/>
    <col min="3" max="3" width="10.77734375" customWidth="1"/>
    <col min="4" max="4" width="30.77734375" customWidth="1"/>
  </cols>
  <sheetData>
    <row r="1" spans="1:4" ht="34.049999999999997" customHeight="1" x14ac:dyDescent="0.3">
      <c r="A1" s="143" t="s">
        <v>134</v>
      </c>
      <c r="B1" s="116"/>
      <c r="C1" s="116"/>
      <c r="D1" s="116"/>
    </row>
    <row r="3" spans="1:4" x14ac:dyDescent="0.3">
      <c r="A3" s="154" t="s">
        <v>237</v>
      </c>
      <c r="B3" s="118"/>
      <c r="C3" s="118"/>
      <c r="D3" s="118"/>
    </row>
    <row r="4" spans="1:4" x14ac:dyDescent="0.3">
      <c r="A4" s="38" t="s">
        <v>238</v>
      </c>
      <c r="B4" s="16" t="s">
        <v>239</v>
      </c>
      <c r="C4" s="37">
        <v>0.41666666666666669</v>
      </c>
      <c r="D4" s="16" t="s">
        <v>240</v>
      </c>
    </row>
    <row r="5" spans="1:4" x14ac:dyDescent="0.3">
      <c r="A5" s="38" t="s">
        <v>238</v>
      </c>
      <c r="B5" s="16" t="s">
        <v>241</v>
      </c>
      <c r="C5" s="37">
        <v>0.58333333333333337</v>
      </c>
      <c r="D5" s="16" t="s">
        <v>242</v>
      </c>
    </row>
    <row r="6" spans="1:4" x14ac:dyDescent="0.3">
      <c r="A6" s="38" t="s">
        <v>238</v>
      </c>
      <c r="B6" s="16" t="s">
        <v>243</v>
      </c>
      <c r="C6" s="37">
        <v>0.79166666666666663</v>
      </c>
      <c r="D6" s="16" t="s">
        <v>244</v>
      </c>
    </row>
    <row r="7" spans="1:4" x14ac:dyDescent="0.3">
      <c r="A7" s="38" t="s">
        <v>245</v>
      </c>
      <c r="B7" s="16" t="s">
        <v>246</v>
      </c>
      <c r="C7" s="37">
        <v>0.41666666666666669</v>
      </c>
      <c r="D7" s="16" t="s">
        <v>247</v>
      </c>
    </row>
    <row r="8" spans="1:4" x14ac:dyDescent="0.3">
      <c r="A8" s="38" t="s">
        <v>245</v>
      </c>
      <c r="B8" s="16" t="s">
        <v>248</v>
      </c>
      <c r="C8" s="37">
        <v>0.58333333333333337</v>
      </c>
      <c r="D8" s="16" t="s">
        <v>249</v>
      </c>
    </row>
    <row r="9" spans="1:4" x14ac:dyDescent="0.3">
      <c r="A9" s="38" t="s">
        <v>245</v>
      </c>
      <c r="B9" s="16" t="s">
        <v>239</v>
      </c>
      <c r="C9" s="37">
        <v>0.79166666666666663</v>
      </c>
      <c r="D9" s="16" t="s">
        <v>250</v>
      </c>
    </row>
    <row r="10" spans="1:4" x14ac:dyDescent="0.3">
      <c r="A10" s="38" t="s">
        <v>251</v>
      </c>
      <c r="B10" s="16" t="s">
        <v>241</v>
      </c>
      <c r="C10" s="37">
        <v>0.41666666666666669</v>
      </c>
      <c r="D10" s="16" t="s">
        <v>252</v>
      </c>
    </row>
    <row r="11" spans="1:4" x14ac:dyDescent="0.3">
      <c r="A11" s="38" t="s">
        <v>251</v>
      </c>
      <c r="B11" s="16" t="s">
        <v>239</v>
      </c>
      <c r="C11" s="37">
        <v>0.58333333333333337</v>
      </c>
      <c r="D11" s="16" t="s">
        <v>253</v>
      </c>
    </row>
    <row r="12" spans="1:4" x14ac:dyDescent="0.3">
      <c r="A12" s="38" t="s">
        <v>251</v>
      </c>
      <c r="B12" s="16" t="s">
        <v>246</v>
      </c>
      <c r="C12" s="37">
        <v>0.79166666666666663</v>
      </c>
      <c r="D12" s="16" t="s">
        <v>254</v>
      </c>
    </row>
    <row r="13" spans="1:4" x14ac:dyDescent="0.3">
      <c r="A13" s="38" t="s">
        <v>255</v>
      </c>
      <c r="B13" s="16" t="s">
        <v>243</v>
      </c>
      <c r="C13" s="37">
        <v>0.41666666666666669</v>
      </c>
      <c r="D13" s="16" t="s">
        <v>256</v>
      </c>
    </row>
    <row r="14" spans="1:4" x14ac:dyDescent="0.3">
      <c r="A14" s="38" t="s">
        <v>255</v>
      </c>
      <c r="B14" s="16" t="s">
        <v>246</v>
      </c>
      <c r="C14" s="37">
        <v>0.58333333333333337</v>
      </c>
      <c r="D14" s="16" t="s">
        <v>257</v>
      </c>
    </row>
    <row r="15" spans="1:4" x14ac:dyDescent="0.3">
      <c r="A15" s="38" t="s">
        <v>255</v>
      </c>
      <c r="B15" s="16" t="s">
        <v>241</v>
      </c>
      <c r="C15" s="37">
        <v>0.79166666666666663</v>
      </c>
      <c r="D15" s="16" t="s">
        <v>258</v>
      </c>
    </row>
    <row r="16" spans="1:4" x14ac:dyDescent="0.3">
      <c r="A16" s="38" t="s">
        <v>259</v>
      </c>
      <c r="B16" s="16" t="s">
        <v>248</v>
      </c>
      <c r="C16" s="37">
        <v>0.41666666666666669</v>
      </c>
      <c r="D16" s="16" t="s">
        <v>244</v>
      </c>
    </row>
    <row r="17" spans="1:4" x14ac:dyDescent="0.3">
      <c r="A17" s="38" t="s">
        <v>259</v>
      </c>
      <c r="B17" s="16" t="s">
        <v>243</v>
      </c>
      <c r="C17" s="37">
        <v>0.58333333333333337</v>
      </c>
      <c r="D17" s="16" t="s">
        <v>260</v>
      </c>
    </row>
    <row r="18" spans="1:4" x14ac:dyDescent="0.3">
      <c r="A18" s="38" t="s">
        <v>259</v>
      </c>
      <c r="B18" s="16" t="s">
        <v>248</v>
      </c>
      <c r="C18" s="37">
        <v>0.79166666666666663</v>
      </c>
      <c r="D18" s="16" t="s">
        <v>250</v>
      </c>
    </row>
    <row r="19" spans="1:4" x14ac:dyDescent="0.3">
      <c r="A19" s="38" t="s">
        <v>261</v>
      </c>
      <c r="B19" s="16" t="s">
        <v>262</v>
      </c>
      <c r="C19" s="37">
        <v>0.41666666666666669</v>
      </c>
      <c r="D19" s="16" t="s">
        <v>263</v>
      </c>
    </row>
    <row r="20" spans="1:4" x14ac:dyDescent="0.3">
      <c r="A20" s="38" t="s">
        <v>261</v>
      </c>
      <c r="B20" s="16" t="s">
        <v>264</v>
      </c>
      <c r="C20" s="37">
        <v>0.58333333333333337</v>
      </c>
      <c r="D20" s="16" t="s">
        <v>265</v>
      </c>
    </row>
    <row r="21" spans="1:4" x14ac:dyDescent="0.3">
      <c r="A21" s="38" t="s">
        <v>261</v>
      </c>
      <c r="B21" s="16" t="s">
        <v>266</v>
      </c>
      <c r="C21" s="37">
        <v>0.79166666666666663</v>
      </c>
      <c r="D21" s="16" t="s">
        <v>267</v>
      </c>
    </row>
  </sheetData>
  <mergeCells count="2">
    <mergeCell ref="A1:D1"/>
    <mergeCell ref="A3:D3"/>
  </mergeCells>
  <hyperlinks>
    <hyperlink ref="A1" location="'Navigation'!A1" tooltip="Back" display="'Navigation'!A1" xr:uid="{556FE43B-2D77-4F8C-A2A1-E0757EF15F6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425C-F6D8-4605-8162-4AF34012DC20}">
  <sheetPr codeName="Sheet9"/>
  <dimension ref="A1:I11"/>
  <sheetViews>
    <sheetView workbookViewId="0"/>
  </sheetViews>
  <sheetFormatPr defaultRowHeight="14.4" x14ac:dyDescent="0.3"/>
  <cols>
    <col min="1" max="1" width="25.77734375" customWidth="1"/>
    <col min="2" max="9" width="9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x14ac:dyDescent="0.3">
      <c r="A3" s="26" t="s">
        <v>268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39" t="s">
        <v>187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1" si="0">IFERROR(COUNTIF(B4:H4,"✅")/7,0)</f>
        <v>0</v>
      </c>
    </row>
    <row r="5" spans="1:9" ht="25.05" customHeight="1" x14ac:dyDescent="0.35">
      <c r="A5" s="39" t="s">
        <v>158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39" t="s">
        <v>160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39" t="s">
        <v>167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39" t="s">
        <v>189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39" t="s">
        <v>269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39" t="s">
        <v>165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9" t="s">
        <v>270</v>
      </c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1" xr:uid="{60684CE7-7740-428E-92BC-DC62DE58DE3D}">
      <formula1>"✅,☐"</formula1>
    </dataValidation>
  </dataValidations>
  <hyperlinks>
    <hyperlink ref="A1" location="'Navigation'!A1" tooltip="Back" display="'Navigation'!A1" xr:uid="{10389037-6EB6-47D2-BC33-E5EDF2801DA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0BE7-1A23-45EC-89D9-F12738B1D5E3}">
  <sheetPr codeName="Sheet10"/>
  <dimension ref="A1:E24"/>
  <sheetViews>
    <sheetView workbookViewId="0"/>
  </sheetViews>
  <sheetFormatPr defaultRowHeight="14.4" x14ac:dyDescent="0.3"/>
  <cols>
    <col min="1" max="1" width="22.77734375" customWidth="1"/>
    <col min="2" max="4" width="12.77734375" customWidth="1"/>
    <col min="5" max="5" width="25.77734375" customWidth="1"/>
  </cols>
  <sheetData>
    <row r="1" spans="1:5" ht="34.049999999999997" customHeight="1" x14ac:dyDescent="0.3">
      <c r="A1" s="143" t="s">
        <v>134</v>
      </c>
      <c r="B1" s="116"/>
      <c r="C1" s="116"/>
      <c r="D1" s="116"/>
      <c r="E1" s="116"/>
    </row>
    <row r="3" spans="1:5" x14ac:dyDescent="0.3">
      <c r="A3" s="26" t="s">
        <v>271</v>
      </c>
      <c r="B3" s="26" t="s">
        <v>272</v>
      </c>
      <c r="C3" s="26" t="s">
        <v>273</v>
      </c>
      <c r="D3" s="26" t="s">
        <v>274</v>
      </c>
      <c r="E3" s="26" t="s">
        <v>275</v>
      </c>
    </row>
    <row r="4" spans="1:5" ht="22.05" customHeight="1" x14ac:dyDescent="0.3">
      <c r="A4" s="38" t="s">
        <v>276</v>
      </c>
      <c r="B4" s="37">
        <v>0.25</v>
      </c>
      <c r="C4" s="37">
        <v>0.29166666666666669</v>
      </c>
      <c r="D4" s="16" t="s">
        <v>277</v>
      </c>
      <c r="E4" s="16" t="s">
        <v>278</v>
      </c>
    </row>
    <row r="5" spans="1:5" ht="22.05" customHeight="1" x14ac:dyDescent="0.3">
      <c r="A5" s="38" t="s">
        <v>279</v>
      </c>
      <c r="B5" s="37">
        <v>0.29166666666666669</v>
      </c>
      <c r="C5" s="37">
        <v>0.33333333333333331</v>
      </c>
      <c r="D5" s="16" t="s">
        <v>277</v>
      </c>
      <c r="E5" s="16" t="s">
        <v>280</v>
      </c>
    </row>
    <row r="6" spans="1:5" ht="22.05" customHeight="1" x14ac:dyDescent="0.3">
      <c r="A6" s="38" t="s">
        <v>281</v>
      </c>
      <c r="B6" s="37">
        <v>0.33333333333333331</v>
      </c>
      <c r="C6" s="37">
        <v>0.35416666666666669</v>
      </c>
      <c r="D6" s="16" t="s">
        <v>282</v>
      </c>
      <c r="E6" s="16" t="s">
        <v>283</v>
      </c>
    </row>
    <row r="7" spans="1:5" ht="22.05" customHeight="1" x14ac:dyDescent="0.3">
      <c r="A7" s="38" t="s">
        <v>284</v>
      </c>
      <c r="B7" s="37">
        <v>0.35416666666666669</v>
      </c>
      <c r="C7" s="37">
        <v>0.39583333333333331</v>
      </c>
      <c r="D7" s="16" t="s">
        <v>277</v>
      </c>
      <c r="E7" s="16" t="s">
        <v>285</v>
      </c>
    </row>
    <row r="8" spans="1:5" ht="22.05" customHeight="1" x14ac:dyDescent="0.3">
      <c r="A8" s="38" t="s">
        <v>286</v>
      </c>
      <c r="B8" s="37">
        <v>0.39583333333333331</v>
      </c>
      <c r="C8" s="37">
        <v>0.41666666666666669</v>
      </c>
      <c r="D8" s="16" t="s">
        <v>282</v>
      </c>
      <c r="E8" s="16" t="s">
        <v>283</v>
      </c>
    </row>
    <row r="9" spans="1:5" ht="22.05" customHeight="1" x14ac:dyDescent="0.3">
      <c r="A9" s="38" t="s">
        <v>287</v>
      </c>
      <c r="B9" s="37">
        <v>0.41666666666666669</v>
      </c>
      <c r="C9" s="37">
        <v>0.47916666666666669</v>
      </c>
      <c r="D9" s="16" t="s">
        <v>288</v>
      </c>
      <c r="E9" s="16" t="s">
        <v>289</v>
      </c>
    </row>
    <row r="10" spans="1:5" ht="22.05" customHeight="1" x14ac:dyDescent="0.3">
      <c r="A10" s="38" t="s">
        <v>290</v>
      </c>
      <c r="B10" s="37">
        <v>0.47916666666666669</v>
      </c>
      <c r="C10" s="37">
        <v>0.5</v>
      </c>
      <c r="D10" s="16" t="s">
        <v>282</v>
      </c>
      <c r="E10" s="16" t="s">
        <v>163</v>
      </c>
    </row>
    <row r="11" spans="1:5" ht="22.05" customHeight="1" x14ac:dyDescent="0.3">
      <c r="A11" s="38" t="s">
        <v>291</v>
      </c>
      <c r="B11" s="37">
        <v>0.5</v>
      </c>
      <c r="C11" s="37">
        <v>0.54166666666666663</v>
      </c>
      <c r="D11" s="16" t="s">
        <v>277</v>
      </c>
      <c r="E11" s="16" t="s">
        <v>283</v>
      </c>
    </row>
    <row r="12" spans="1:5" ht="22.05" customHeight="1" x14ac:dyDescent="0.3">
      <c r="A12" s="38" t="s">
        <v>292</v>
      </c>
      <c r="B12" s="37">
        <v>0.54166666666666663</v>
      </c>
      <c r="C12" s="37">
        <v>0.5625</v>
      </c>
      <c r="D12" s="16" t="s">
        <v>282</v>
      </c>
      <c r="E12" s="16" t="s">
        <v>283</v>
      </c>
    </row>
    <row r="13" spans="1:5" ht="22.05" customHeight="1" x14ac:dyDescent="0.3">
      <c r="A13" s="38" t="s">
        <v>250</v>
      </c>
      <c r="B13" s="37">
        <v>0.5625</v>
      </c>
      <c r="C13" s="37">
        <v>0.58333333333333337</v>
      </c>
      <c r="D13" s="16" t="s">
        <v>282</v>
      </c>
      <c r="E13" s="16" t="s">
        <v>293</v>
      </c>
    </row>
    <row r="14" spans="1:5" ht="22.05" customHeight="1" x14ac:dyDescent="0.3">
      <c r="A14" s="38" t="s">
        <v>294</v>
      </c>
      <c r="B14" s="37">
        <v>0.58333333333333337</v>
      </c>
      <c r="C14" s="37">
        <v>0.625</v>
      </c>
      <c r="D14" s="16" t="s">
        <v>277</v>
      </c>
      <c r="E14" s="16" t="s">
        <v>289</v>
      </c>
    </row>
    <row r="15" spans="1:5" ht="22.05" customHeight="1" x14ac:dyDescent="0.3">
      <c r="A15" s="38" t="s">
        <v>295</v>
      </c>
      <c r="B15" s="37">
        <v>0.625</v>
      </c>
      <c r="C15" s="37">
        <v>0.66666666666666663</v>
      </c>
      <c r="D15" s="16" t="s">
        <v>277</v>
      </c>
      <c r="E15" s="16" t="s">
        <v>296</v>
      </c>
    </row>
    <row r="16" spans="1:5" ht="22.05" customHeight="1" x14ac:dyDescent="0.3">
      <c r="A16" s="38" t="s">
        <v>286</v>
      </c>
      <c r="B16" s="37">
        <v>0.66666666666666663</v>
      </c>
      <c r="C16" s="37">
        <v>0.6875</v>
      </c>
      <c r="D16" s="16" t="s">
        <v>282</v>
      </c>
      <c r="E16" s="16" t="s">
        <v>283</v>
      </c>
    </row>
    <row r="17" spans="1:5" ht="22.05" customHeight="1" x14ac:dyDescent="0.3">
      <c r="A17" s="38" t="s">
        <v>189</v>
      </c>
      <c r="B17" s="37">
        <v>0.6875</v>
      </c>
      <c r="C17" s="37">
        <v>0.75</v>
      </c>
      <c r="D17" s="16" t="s">
        <v>288</v>
      </c>
      <c r="E17" s="16" t="s">
        <v>297</v>
      </c>
    </row>
    <row r="18" spans="1:5" ht="22.05" customHeight="1" x14ac:dyDescent="0.3">
      <c r="A18" s="38" t="s">
        <v>298</v>
      </c>
      <c r="B18" s="37">
        <v>0.75</v>
      </c>
      <c r="C18" s="37">
        <v>0.77083333333333337</v>
      </c>
      <c r="D18" s="16" t="s">
        <v>282</v>
      </c>
      <c r="E18" s="16" t="s">
        <v>283</v>
      </c>
    </row>
    <row r="19" spans="1:5" ht="22.05" customHeight="1" x14ac:dyDescent="0.3">
      <c r="A19" s="38" t="s">
        <v>299</v>
      </c>
      <c r="B19" s="37">
        <v>0.77083333333333337</v>
      </c>
      <c r="C19" s="37">
        <v>0.79166666666666663</v>
      </c>
      <c r="D19" s="16" t="s">
        <v>282</v>
      </c>
      <c r="E19" s="16" t="s">
        <v>283</v>
      </c>
    </row>
    <row r="20" spans="1:5" ht="22.05" customHeight="1" x14ac:dyDescent="0.3">
      <c r="A20" s="38" t="s">
        <v>300</v>
      </c>
      <c r="B20" s="37">
        <v>0.79166666666666663</v>
      </c>
      <c r="C20" s="37">
        <v>0.83333333333333337</v>
      </c>
      <c r="D20" s="16" t="s">
        <v>277</v>
      </c>
      <c r="E20" s="16" t="s">
        <v>289</v>
      </c>
    </row>
    <row r="21" spans="1:5" ht="22.05" customHeight="1" x14ac:dyDescent="0.3">
      <c r="A21" s="38" t="s">
        <v>301</v>
      </c>
      <c r="B21" s="37">
        <v>0.83333333333333337</v>
      </c>
      <c r="C21" s="37">
        <v>0.875</v>
      </c>
      <c r="D21" s="16" t="s">
        <v>277</v>
      </c>
      <c r="E21" s="16" t="s">
        <v>302</v>
      </c>
    </row>
    <row r="22" spans="1:5" ht="22.05" customHeight="1" x14ac:dyDescent="0.3">
      <c r="A22" s="38" t="s">
        <v>39</v>
      </c>
      <c r="B22" s="37">
        <v>0.875</v>
      </c>
      <c r="C22" s="37">
        <v>0.89583333333333337</v>
      </c>
      <c r="D22" s="16" t="s">
        <v>282</v>
      </c>
      <c r="E22" s="16" t="s">
        <v>303</v>
      </c>
    </row>
    <row r="23" spans="1:5" ht="22.05" customHeight="1" x14ac:dyDescent="0.3">
      <c r="A23" s="38" t="s">
        <v>304</v>
      </c>
      <c r="B23" s="37">
        <v>0.89583333333333337</v>
      </c>
      <c r="C23" s="37">
        <v>0.91666666666666663</v>
      </c>
      <c r="D23" s="16" t="s">
        <v>282</v>
      </c>
      <c r="E23" s="16" t="s">
        <v>305</v>
      </c>
    </row>
    <row r="24" spans="1:5" ht="22.05" customHeight="1" x14ac:dyDescent="0.3">
      <c r="A24" s="38" t="s">
        <v>306</v>
      </c>
      <c r="B24" s="37">
        <v>0.91666666666666663</v>
      </c>
      <c r="C24" s="37">
        <v>0.25</v>
      </c>
      <c r="D24" s="16" t="s">
        <v>307</v>
      </c>
      <c r="E24" s="16" t="s">
        <v>308</v>
      </c>
    </row>
  </sheetData>
  <mergeCells count="1">
    <mergeCell ref="A1:E1"/>
  </mergeCells>
  <hyperlinks>
    <hyperlink ref="A1" location="'Navigation'!A1" tooltip="Back" display="'Navigation'!A1" xr:uid="{CE219F73-BE78-4BF5-85EF-405140DA91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3BD6-F8DE-421E-AE72-CCA03BBE4ABA}">
  <sheetPr codeName="Sheet11"/>
  <dimension ref="A1:C11"/>
  <sheetViews>
    <sheetView workbookViewId="0"/>
  </sheetViews>
  <sheetFormatPr defaultRowHeight="14.4" x14ac:dyDescent="0.3"/>
  <cols>
    <col min="1" max="1" width="15.77734375" customWidth="1"/>
    <col min="2" max="2" width="22.77734375" customWidth="1"/>
    <col min="3" max="3" width="35.77734375" customWidth="1"/>
  </cols>
  <sheetData>
    <row r="1" spans="1:3" ht="34.049999999999997" customHeight="1" x14ac:dyDescent="0.3">
      <c r="A1" s="143" t="s">
        <v>134</v>
      </c>
      <c r="B1" s="116"/>
      <c r="C1" s="116"/>
    </row>
    <row r="3" spans="1:3" x14ac:dyDescent="0.3">
      <c r="A3" s="26" t="s">
        <v>309</v>
      </c>
      <c r="B3" s="26" t="s">
        <v>271</v>
      </c>
      <c r="C3" s="26" t="s">
        <v>310</v>
      </c>
    </row>
    <row r="4" spans="1:3" ht="22.05" customHeight="1" x14ac:dyDescent="0.3">
      <c r="A4" s="16" t="s">
        <v>311</v>
      </c>
      <c r="B4" s="16" t="s">
        <v>312</v>
      </c>
      <c r="C4" s="16" t="s">
        <v>313</v>
      </c>
    </row>
    <row r="5" spans="1:3" ht="22.05" customHeight="1" x14ac:dyDescent="0.3">
      <c r="A5" s="16" t="s">
        <v>314</v>
      </c>
      <c r="B5" s="16" t="s">
        <v>158</v>
      </c>
      <c r="C5" s="16" t="s">
        <v>315</v>
      </c>
    </row>
    <row r="6" spans="1:3" ht="22.05" customHeight="1" x14ac:dyDescent="0.3">
      <c r="A6" s="16" t="s">
        <v>316</v>
      </c>
      <c r="B6" s="16" t="s">
        <v>160</v>
      </c>
      <c r="C6" s="16" t="s">
        <v>317</v>
      </c>
    </row>
    <row r="7" spans="1:3" ht="22.05" customHeight="1" x14ac:dyDescent="0.3">
      <c r="A7" s="16" t="s">
        <v>318</v>
      </c>
      <c r="B7" s="16" t="s">
        <v>167</v>
      </c>
      <c r="C7" s="16" t="s">
        <v>319</v>
      </c>
    </row>
    <row r="8" spans="1:3" ht="22.05" customHeight="1" x14ac:dyDescent="0.3">
      <c r="A8" s="16" t="s">
        <v>320</v>
      </c>
      <c r="B8" s="16" t="s">
        <v>269</v>
      </c>
      <c r="C8" s="16" t="s">
        <v>321</v>
      </c>
    </row>
    <row r="9" spans="1:3" ht="22.05" customHeight="1" x14ac:dyDescent="0.3">
      <c r="A9" s="16" t="s">
        <v>322</v>
      </c>
      <c r="B9" s="16" t="s">
        <v>189</v>
      </c>
      <c r="C9" s="16" t="s">
        <v>297</v>
      </c>
    </row>
    <row r="10" spans="1:3" ht="22.05" customHeight="1" x14ac:dyDescent="0.3">
      <c r="A10" s="16" t="s">
        <v>323</v>
      </c>
      <c r="B10" s="16" t="s">
        <v>324</v>
      </c>
      <c r="C10" s="16" t="s">
        <v>325</v>
      </c>
    </row>
    <row r="11" spans="1:3" ht="22.05" customHeight="1" x14ac:dyDescent="0.3">
      <c r="A11" s="16" t="s">
        <v>322</v>
      </c>
      <c r="B11" s="16" t="s">
        <v>165</v>
      </c>
      <c r="C11" s="16" t="s">
        <v>326</v>
      </c>
    </row>
  </sheetData>
  <mergeCells count="1">
    <mergeCell ref="A1:C1"/>
  </mergeCells>
  <hyperlinks>
    <hyperlink ref="A1" location="'Navigation'!A1" tooltip="Back" display="'Navigation'!A1" xr:uid="{CA501289-4245-4F24-9EFF-D2C30276787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A4DC-A75F-4B5F-ABE4-37FFCBEB0084}">
  <sheetPr codeName="Sheet12"/>
  <dimension ref="A1:I15"/>
  <sheetViews>
    <sheetView workbookViewId="0"/>
  </sheetViews>
  <sheetFormatPr defaultRowHeight="14.4" x14ac:dyDescent="0.3"/>
  <cols>
    <col min="1" max="1" width="32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ht="28.05" customHeight="1" x14ac:dyDescent="0.3">
      <c r="A3" s="26" t="s">
        <v>225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34" t="s">
        <v>239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5" si="0">IFERROR(COUNTIF(B4:H4,"✅")/7,0)</f>
        <v>0</v>
      </c>
    </row>
    <row r="5" spans="1:9" ht="25.05" customHeight="1" x14ac:dyDescent="0.35">
      <c r="A5" s="34" t="s">
        <v>246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34" t="s">
        <v>243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34" t="s">
        <v>241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34" t="s">
        <v>248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3"/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3"/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"/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"/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"/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ht="25.05" customHeight="1" x14ac:dyDescent="0.35">
      <c r="A14" s="3"/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35">
        <f t="shared" si="0"/>
        <v>0</v>
      </c>
    </row>
    <row r="15" spans="1:9" ht="25.05" customHeight="1" x14ac:dyDescent="0.35">
      <c r="A15" s="3"/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5" xr:uid="{C4780C8F-D9A3-4122-BBC2-B12EC34DA57F}">
      <formula1>"✅,☐"</formula1>
    </dataValidation>
  </dataValidations>
  <hyperlinks>
    <hyperlink ref="A1" location="'Navigation'!A1" tooltip="Back" display="'Navigation'!A1" xr:uid="{B59C60B4-2276-45BF-9DE0-D7C20B1FCEC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768F-891D-4306-B149-87F1F622C80E}">
  <sheetPr codeName="Sheet13"/>
  <dimension ref="A1:I15"/>
  <sheetViews>
    <sheetView workbookViewId="0"/>
  </sheetViews>
  <sheetFormatPr defaultRowHeight="14.4" x14ac:dyDescent="0.3"/>
  <cols>
    <col min="1" max="1" width="28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x14ac:dyDescent="0.3">
      <c r="A3" s="26" t="s">
        <v>225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40" t="s">
        <v>327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5" si="0">IFERROR(COUNTIF(B4:H4,"✅")/7,0)</f>
        <v>0</v>
      </c>
    </row>
    <row r="5" spans="1:9" ht="25.05" customHeight="1" x14ac:dyDescent="0.35">
      <c r="A5" s="40" t="s">
        <v>328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40" t="s">
        <v>329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40" t="s">
        <v>270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40" t="s">
        <v>330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3"/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3"/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"/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"/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"/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ht="25.05" customHeight="1" x14ac:dyDescent="0.35">
      <c r="A14" s="3"/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35">
        <f t="shared" si="0"/>
        <v>0</v>
      </c>
    </row>
    <row r="15" spans="1:9" ht="25.05" customHeight="1" x14ac:dyDescent="0.35">
      <c r="A15" s="3"/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5" xr:uid="{34692E9F-7EE7-4CC2-B0B8-AEC8954C77C2}">
      <formula1>"✅,☐"</formula1>
    </dataValidation>
  </dataValidations>
  <hyperlinks>
    <hyperlink ref="A1" location="'Navigation'!A1" tooltip="Back" display="'Navigation'!A1" xr:uid="{4584B1FC-B814-48AE-9D1B-47E5B9F5975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AC39-CF77-4348-B931-42BE797927CB}">
  <sheetPr codeName="Sheet14"/>
  <dimension ref="A1:I15"/>
  <sheetViews>
    <sheetView workbookViewId="0"/>
  </sheetViews>
  <sheetFormatPr defaultRowHeight="14.4" x14ac:dyDescent="0.3"/>
  <cols>
    <col min="1" max="1" width="22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x14ac:dyDescent="0.3">
      <c r="A3" s="26" t="s">
        <v>331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27" t="s">
        <v>332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5" si="0">IFERROR(COUNTIF(B4:H4,"✅")/7,0)</f>
        <v>0</v>
      </c>
    </row>
    <row r="5" spans="1:9" ht="25.05" customHeight="1" x14ac:dyDescent="0.35">
      <c r="A5" s="27" t="s">
        <v>333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27" t="s">
        <v>334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27" t="s">
        <v>335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27" t="s">
        <v>336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27" t="s">
        <v>337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27" t="s">
        <v>338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"/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"/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"/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ht="25.05" customHeight="1" x14ac:dyDescent="0.35">
      <c r="A14" s="3"/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35">
        <f t="shared" si="0"/>
        <v>0</v>
      </c>
    </row>
    <row r="15" spans="1:9" ht="25.05" customHeight="1" x14ac:dyDescent="0.35">
      <c r="A15" s="3"/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5" xr:uid="{F5A0C3BD-11D8-4F4B-BBD5-AD7D7F785D4D}">
      <formula1>"✅,☐"</formula1>
    </dataValidation>
  </dataValidations>
  <hyperlinks>
    <hyperlink ref="A1" location="'Navigation'!A1" tooltip="Back" display="'Navigation'!A1" xr:uid="{02C27FF6-D545-47FB-8D7D-7EC65D11993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A73B-9148-44D2-BA6C-78F2C75755D8}">
  <sheetPr codeName="Sheet15"/>
  <dimension ref="A1:I15"/>
  <sheetViews>
    <sheetView workbookViewId="0"/>
  </sheetViews>
  <sheetFormatPr defaultRowHeight="14.4" x14ac:dyDescent="0.3"/>
  <cols>
    <col min="1" max="1" width="22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x14ac:dyDescent="0.3">
      <c r="A3" s="26" t="s">
        <v>339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41" t="s">
        <v>340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5" si="0">IFERROR(COUNTIF(B4:H4,"✅")/7,0)</f>
        <v>0</v>
      </c>
    </row>
    <row r="5" spans="1:9" ht="25.05" customHeight="1" x14ac:dyDescent="0.35">
      <c r="A5" s="41" t="s">
        <v>341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41" t="s">
        <v>342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41" t="s">
        <v>343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41" t="s">
        <v>344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41" t="s">
        <v>345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41" t="s">
        <v>346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41" t="s">
        <v>347</v>
      </c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"/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"/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ht="25.05" customHeight="1" x14ac:dyDescent="0.35">
      <c r="A14" s="3"/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35">
        <f t="shared" si="0"/>
        <v>0</v>
      </c>
    </row>
    <row r="15" spans="1:9" ht="25.05" customHeight="1" x14ac:dyDescent="0.35">
      <c r="A15" s="3"/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5" xr:uid="{03DA804F-662B-444A-B651-423BCC323C37}">
      <formula1>"✅,☐"</formula1>
    </dataValidation>
  </dataValidations>
  <hyperlinks>
    <hyperlink ref="A1" location="'Navigation'!A1" tooltip="Back" display="'Navigation'!A1" xr:uid="{BF4A5771-AD08-4D23-9B85-D94FE08E4F7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81C8-74DD-4A57-9016-160F30CB4EDD}">
  <sheetPr codeName="Sheet16"/>
  <dimension ref="A1:I15"/>
  <sheetViews>
    <sheetView workbookViewId="0"/>
  </sheetViews>
  <sheetFormatPr defaultRowHeight="14.4" x14ac:dyDescent="0.3"/>
  <cols>
    <col min="1" max="1" width="22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x14ac:dyDescent="0.3">
      <c r="A3" s="26" t="s">
        <v>268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42" t="s">
        <v>348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5" si="0">IFERROR(COUNTIF(B4:H4,"✅")/7,0)</f>
        <v>0</v>
      </c>
    </row>
    <row r="5" spans="1:9" ht="25.05" customHeight="1" x14ac:dyDescent="0.35">
      <c r="A5" s="42" t="s">
        <v>349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42" t="s">
        <v>350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42" t="s">
        <v>351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42" t="s">
        <v>352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42" t="s">
        <v>353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42" t="s">
        <v>354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"/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"/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"/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ht="25.05" customHeight="1" x14ac:dyDescent="0.35">
      <c r="A14" s="3"/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35">
        <f t="shared" si="0"/>
        <v>0</v>
      </c>
    </row>
    <row r="15" spans="1:9" ht="25.05" customHeight="1" x14ac:dyDescent="0.35">
      <c r="A15" s="3"/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5" xr:uid="{CE5BD090-C29B-46DE-AC33-B518F892EFFF}">
      <formula1>"✅,☐"</formula1>
    </dataValidation>
  </dataValidations>
  <hyperlinks>
    <hyperlink ref="A1" location="'Navigation'!A1" tooltip="Back" display="'Navigation'!A1" xr:uid="{9B45881C-248A-4CB6-B635-7F26A60ACA0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B2E6-66A3-460E-8A7C-D84668A5664A}">
  <sheetPr codeName="Sheet17"/>
  <dimension ref="A1:I15"/>
  <sheetViews>
    <sheetView workbookViewId="0"/>
  </sheetViews>
  <sheetFormatPr defaultRowHeight="14.4" x14ac:dyDescent="0.3"/>
  <cols>
    <col min="1" max="1" width="22.77734375" customWidth="1"/>
    <col min="2" max="9" width="10.77734375" customWidth="1"/>
  </cols>
  <sheetData>
    <row r="1" spans="1:9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</row>
    <row r="3" spans="1:9" x14ac:dyDescent="0.3">
      <c r="A3" s="26" t="s">
        <v>355</v>
      </c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  <c r="G3" s="26" t="s">
        <v>148</v>
      </c>
      <c r="H3" s="26" t="s">
        <v>149</v>
      </c>
      <c r="I3" s="26" t="s">
        <v>180</v>
      </c>
    </row>
    <row r="4" spans="1:9" ht="25.05" customHeight="1" x14ac:dyDescent="0.35">
      <c r="A4" s="43" t="s">
        <v>356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35">
        <f t="shared" ref="I4:I15" si="0">IFERROR(COUNTIF(B4:H4,"✅")/7,0)</f>
        <v>0</v>
      </c>
    </row>
    <row r="5" spans="1:9" ht="25.05" customHeight="1" x14ac:dyDescent="0.35">
      <c r="A5" s="43" t="s">
        <v>357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35">
        <f t="shared" si="0"/>
        <v>0</v>
      </c>
    </row>
    <row r="6" spans="1:9" ht="25.05" customHeight="1" x14ac:dyDescent="0.35">
      <c r="A6" s="43" t="s">
        <v>358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35">
        <f t="shared" si="0"/>
        <v>0</v>
      </c>
    </row>
    <row r="7" spans="1:9" ht="25.05" customHeight="1" x14ac:dyDescent="0.35">
      <c r="A7" s="43" t="s">
        <v>359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35">
        <f t="shared" si="0"/>
        <v>0</v>
      </c>
    </row>
    <row r="8" spans="1:9" ht="25.05" customHeight="1" x14ac:dyDescent="0.35">
      <c r="A8" s="43" t="s">
        <v>360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35">
        <f t="shared" si="0"/>
        <v>0</v>
      </c>
    </row>
    <row r="9" spans="1:9" ht="25.05" customHeight="1" x14ac:dyDescent="0.35">
      <c r="A9" s="43" t="s">
        <v>361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35">
        <f t="shared" si="0"/>
        <v>0</v>
      </c>
    </row>
    <row r="10" spans="1:9" ht="25.05" customHeight="1" x14ac:dyDescent="0.35">
      <c r="A10" s="3"/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35">
        <f t="shared" si="0"/>
        <v>0</v>
      </c>
    </row>
    <row r="11" spans="1:9" ht="25.05" customHeight="1" x14ac:dyDescent="0.35">
      <c r="A11" s="3"/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35">
        <f t="shared" si="0"/>
        <v>0</v>
      </c>
    </row>
    <row r="12" spans="1:9" ht="25.05" customHeight="1" x14ac:dyDescent="0.35">
      <c r="A12" s="3"/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35">
        <f t="shared" si="0"/>
        <v>0</v>
      </c>
    </row>
    <row r="13" spans="1:9" ht="25.05" customHeight="1" x14ac:dyDescent="0.35">
      <c r="A13" s="3"/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35">
        <f t="shared" si="0"/>
        <v>0</v>
      </c>
    </row>
    <row r="14" spans="1:9" ht="25.05" customHeight="1" x14ac:dyDescent="0.35">
      <c r="A14" s="3"/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35">
        <f t="shared" si="0"/>
        <v>0</v>
      </c>
    </row>
    <row r="15" spans="1:9" ht="25.05" customHeight="1" x14ac:dyDescent="0.35">
      <c r="A15" s="3"/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35">
        <f t="shared" si="0"/>
        <v>0</v>
      </c>
    </row>
  </sheetData>
  <mergeCells count="1">
    <mergeCell ref="A1:I1"/>
  </mergeCells>
  <dataValidations count="1">
    <dataValidation type="list" allowBlank="1" showInputMessage="1" showErrorMessage="1" sqref="B4:H15" xr:uid="{F9E23687-BCF2-4B29-9298-2A820003F754}">
      <formula1>"✅,☐"</formula1>
    </dataValidation>
  </dataValidations>
  <hyperlinks>
    <hyperlink ref="A1" location="'Navigation'!A1" tooltip="Back" display="'Navigation'!A1" xr:uid="{7A92685A-8E1C-4C89-B5F6-75D36C0A62C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A6EF-F53A-4566-8FB5-178F314F7527}">
  <sheetPr codeName="Sheet18"/>
  <dimension ref="A1:L9"/>
  <sheetViews>
    <sheetView workbookViewId="0"/>
  </sheetViews>
  <sheetFormatPr defaultRowHeight="14.4" x14ac:dyDescent="0.3"/>
  <cols>
    <col min="1" max="1" width="22.77734375" customWidth="1"/>
    <col min="2" max="8" width="18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28.05" customHeight="1" x14ac:dyDescent="0.3">
      <c r="A3" s="44" t="s">
        <v>363</v>
      </c>
      <c r="B3" s="45" t="s">
        <v>364</v>
      </c>
      <c r="C3" s="45" t="s">
        <v>365</v>
      </c>
      <c r="D3" s="45" t="s">
        <v>366</v>
      </c>
      <c r="E3" s="45" t="s">
        <v>367</v>
      </c>
      <c r="F3" s="45" t="s">
        <v>368</v>
      </c>
      <c r="G3" s="45" t="s">
        <v>369</v>
      </c>
      <c r="H3" s="45" t="s">
        <v>370</v>
      </c>
      <c r="I3" s="2"/>
      <c r="J3" s="2"/>
      <c r="K3" s="2"/>
      <c r="L3" s="2"/>
    </row>
    <row r="4" spans="1:12" ht="28.05" customHeight="1" x14ac:dyDescent="0.3">
      <c r="A4" s="46" t="s">
        <v>371</v>
      </c>
      <c r="B4" s="16" t="s">
        <v>372</v>
      </c>
      <c r="C4" s="16" t="s">
        <v>373</v>
      </c>
      <c r="D4" s="16" t="s">
        <v>374</v>
      </c>
      <c r="E4" s="16" t="s">
        <v>375</v>
      </c>
      <c r="F4" s="16" t="s">
        <v>376</v>
      </c>
      <c r="G4" s="16" t="s">
        <v>377</v>
      </c>
      <c r="H4" s="16" t="s">
        <v>378</v>
      </c>
    </row>
    <row r="5" spans="1:12" ht="28.05" customHeight="1" x14ac:dyDescent="0.3">
      <c r="A5" s="46" t="s">
        <v>379</v>
      </c>
      <c r="B5" s="16" t="s">
        <v>380</v>
      </c>
      <c r="C5" s="16" t="s">
        <v>381</v>
      </c>
      <c r="D5" s="16" t="s">
        <v>382</v>
      </c>
      <c r="E5" s="16" t="s">
        <v>383</v>
      </c>
      <c r="F5" s="16" t="s">
        <v>384</v>
      </c>
      <c r="G5" s="16" t="s">
        <v>385</v>
      </c>
      <c r="H5" s="16" t="s">
        <v>386</v>
      </c>
    </row>
    <row r="6" spans="1:12" ht="28.05" customHeight="1" x14ac:dyDescent="0.3">
      <c r="A6" s="46" t="s">
        <v>387</v>
      </c>
      <c r="B6" s="16" t="s">
        <v>388</v>
      </c>
      <c r="C6" s="16" t="s">
        <v>389</v>
      </c>
      <c r="D6" s="16" t="s">
        <v>390</v>
      </c>
      <c r="E6" s="16" t="s">
        <v>391</v>
      </c>
      <c r="F6" s="16" t="s">
        <v>392</v>
      </c>
      <c r="G6" s="16" t="s">
        <v>393</v>
      </c>
      <c r="H6" s="16" t="s">
        <v>394</v>
      </c>
    </row>
    <row r="7" spans="1:12" ht="28.05" customHeight="1" x14ac:dyDescent="0.3">
      <c r="A7" s="46" t="s">
        <v>395</v>
      </c>
      <c r="B7" s="16" t="s">
        <v>396</v>
      </c>
      <c r="C7" s="16" t="s">
        <v>397</v>
      </c>
      <c r="D7" s="16" t="s">
        <v>398</v>
      </c>
      <c r="E7" s="16" t="s">
        <v>399</v>
      </c>
      <c r="F7" s="16" t="s">
        <v>400</v>
      </c>
      <c r="G7" s="16" t="s">
        <v>401</v>
      </c>
      <c r="H7" s="16" t="s">
        <v>402</v>
      </c>
    </row>
    <row r="8" spans="1:12" ht="28.05" customHeight="1" x14ac:dyDescent="0.3">
      <c r="A8" s="46" t="s">
        <v>403</v>
      </c>
      <c r="B8" s="16" t="s">
        <v>404</v>
      </c>
      <c r="C8" s="16" t="s">
        <v>405</v>
      </c>
      <c r="D8" s="16" t="s">
        <v>406</v>
      </c>
      <c r="E8" s="16" t="s">
        <v>407</v>
      </c>
      <c r="F8" s="16" t="s">
        <v>408</v>
      </c>
      <c r="G8" s="16" t="s">
        <v>409</v>
      </c>
      <c r="H8" s="16" t="s">
        <v>410</v>
      </c>
    </row>
    <row r="9" spans="1:12" ht="28.05" customHeight="1" x14ac:dyDescent="0.3">
      <c r="A9" s="46" t="s">
        <v>411</v>
      </c>
      <c r="B9" s="16" t="s">
        <v>412</v>
      </c>
      <c r="C9" s="16" t="s">
        <v>413</v>
      </c>
      <c r="D9" s="16" t="s">
        <v>412</v>
      </c>
      <c r="E9" s="16" t="s">
        <v>412</v>
      </c>
      <c r="F9" s="16" t="s">
        <v>413</v>
      </c>
      <c r="G9" s="16" t="s">
        <v>412</v>
      </c>
      <c r="H9" s="16" t="s">
        <v>412</v>
      </c>
    </row>
  </sheetData>
  <mergeCells count="1">
    <mergeCell ref="A1:L1"/>
  </mergeCells>
  <hyperlinks>
    <hyperlink ref="A1" location="'Navigation'!A1" tooltip="Back" display="'Navigation'!A1" xr:uid="{C2808BEE-FCDE-4E0F-9B40-D2A52449AE6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1A28-8787-416F-BCFF-B5D3D4C75570}">
  <sheetPr codeName="Sheet19"/>
  <dimension ref="A1:L30"/>
  <sheetViews>
    <sheetView workbookViewId="0"/>
  </sheetViews>
  <sheetFormatPr defaultRowHeight="14.4" x14ac:dyDescent="0.3"/>
  <cols>
    <col min="1" max="1" width="6.77734375" customWidth="1"/>
    <col min="2" max="2" width="22.77734375" customWidth="1"/>
    <col min="3" max="3" width="15.77734375" customWidth="1"/>
    <col min="4" max="5" width="10.77734375" customWidth="1"/>
    <col min="6" max="6" width="12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28.05" customHeight="1" x14ac:dyDescent="0.3">
      <c r="A3" s="47" t="s">
        <v>153</v>
      </c>
      <c r="B3" s="48" t="s">
        <v>414</v>
      </c>
      <c r="C3" s="48" t="s">
        <v>415</v>
      </c>
      <c r="D3" s="48" t="s">
        <v>416</v>
      </c>
      <c r="E3" s="48" t="s">
        <v>417</v>
      </c>
      <c r="F3" s="48" t="s">
        <v>418</v>
      </c>
      <c r="G3" s="2"/>
      <c r="H3" s="2"/>
      <c r="I3" s="2"/>
      <c r="J3" s="2"/>
      <c r="K3" s="2"/>
      <c r="L3" s="2"/>
    </row>
    <row r="4" spans="1:12" ht="22.05" customHeight="1" x14ac:dyDescent="0.3">
      <c r="A4" s="16" t="s">
        <v>155</v>
      </c>
      <c r="B4" s="16" t="s">
        <v>419</v>
      </c>
      <c r="C4" s="16" t="s">
        <v>420</v>
      </c>
      <c r="D4" s="16" t="s">
        <v>421</v>
      </c>
      <c r="E4" s="49">
        <v>80</v>
      </c>
      <c r="F4" s="49">
        <v>400</v>
      </c>
    </row>
    <row r="5" spans="1:12" ht="22.05" customHeight="1" x14ac:dyDescent="0.3">
      <c r="A5" s="16" t="s">
        <v>155</v>
      </c>
      <c r="B5" s="16" t="s">
        <v>422</v>
      </c>
      <c r="C5" s="16" t="s">
        <v>420</v>
      </c>
      <c r="D5" s="16" t="s">
        <v>421</v>
      </c>
      <c r="E5" s="49">
        <v>45</v>
      </c>
      <c r="F5" s="49">
        <v>225</v>
      </c>
    </row>
    <row r="6" spans="1:12" ht="22.05" customHeight="1" x14ac:dyDescent="0.3">
      <c r="A6" s="16" t="s">
        <v>155</v>
      </c>
      <c r="B6" s="16" t="s">
        <v>423</v>
      </c>
      <c r="C6" s="16" t="s">
        <v>424</v>
      </c>
      <c r="D6" s="16" t="s">
        <v>425</v>
      </c>
      <c r="E6" s="49">
        <v>120</v>
      </c>
      <c r="F6" s="49">
        <v>240</v>
      </c>
    </row>
    <row r="7" spans="1:12" ht="22.05" customHeight="1" x14ac:dyDescent="0.3">
      <c r="A7" s="16" t="s">
        <v>155</v>
      </c>
      <c r="B7" s="16" t="s">
        <v>426</v>
      </c>
      <c r="C7" s="16" t="s">
        <v>424</v>
      </c>
      <c r="D7" s="16" t="s">
        <v>427</v>
      </c>
      <c r="E7" s="49">
        <v>110</v>
      </c>
      <c r="F7" s="49">
        <v>110</v>
      </c>
    </row>
    <row r="8" spans="1:12" ht="22.05" customHeight="1" x14ac:dyDescent="0.3">
      <c r="A8" s="16" t="s">
        <v>155</v>
      </c>
      <c r="B8" s="16" t="s">
        <v>428</v>
      </c>
      <c r="C8" s="16" t="s">
        <v>424</v>
      </c>
      <c r="D8" s="16" t="s">
        <v>427</v>
      </c>
      <c r="E8" s="49">
        <v>130</v>
      </c>
      <c r="F8" s="49">
        <v>130</v>
      </c>
    </row>
    <row r="9" spans="1:12" ht="22.05" customHeight="1" x14ac:dyDescent="0.3">
      <c r="A9" s="16" t="s">
        <v>155</v>
      </c>
      <c r="B9" s="16" t="s">
        <v>429</v>
      </c>
      <c r="C9" s="16" t="s">
        <v>424</v>
      </c>
      <c r="D9" s="16" t="s">
        <v>427</v>
      </c>
      <c r="E9" s="49">
        <v>100</v>
      </c>
      <c r="F9" s="49">
        <v>100</v>
      </c>
    </row>
    <row r="10" spans="1:12" ht="22.05" customHeight="1" x14ac:dyDescent="0.3">
      <c r="A10" s="16" t="s">
        <v>155</v>
      </c>
      <c r="B10" s="16" t="s">
        <v>430</v>
      </c>
      <c r="C10" s="16" t="s">
        <v>431</v>
      </c>
      <c r="D10" s="16" t="s">
        <v>432</v>
      </c>
      <c r="E10" s="49">
        <v>60</v>
      </c>
      <c r="F10" s="49">
        <v>300</v>
      </c>
    </row>
    <row r="11" spans="1:12" ht="22.05" customHeight="1" x14ac:dyDescent="0.3">
      <c r="A11" s="16" t="s">
        <v>155</v>
      </c>
      <c r="B11" s="16" t="s">
        <v>433</v>
      </c>
      <c r="C11" s="16" t="s">
        <v>431</v>
      </c>
      <c r="D11" s="16" t="s">
        <v>425</v>
      </c>
      <c r="E11" s="49">
        <v>80</v>
      </c>
      <c r="F11" s="49">
        <v>160</v>
      </c>
    </row>
    <row r="12" spans="1:12" ht="22.05" customHeight="1" x14ac:dyDescent="0.3">
      <c r="A12" s="16" t="s">
        <v>155</v>
      </c>
      <c r="B12" s="16" t="s">
        <v>434</v>
      </c>
      <c r="C12" s="16" t="s">
        <v>431</v>
      </c>
      <c r="D12" s="16" t="s">
        <v>435</v>
      </c>
      <c r="E12" s="49">
        <v>350</v>
      </c>
      <c r="F12" s="49">
        <v>350</v>
      </c>
    </row>
    <row r="13" spans="1:12" ht="22.05" customHeight="1" x14ac:dyDescent="0.3">
      <c r="A13" s="16" t="s">
        <v>155</v>
      </c>
      <c r="B13" s="16" t="s">
        <v>436</v>
      </c>
      <c r="C13" s="16" t="s">
        <v>431</v>
      </c>
      <c r="D13" s="16" t="s">
        <v>435</v>
      </c>
      <c r="E13" s="49">
        <v>550</v>
      </c>
      <c r="F13" s="49">
        <v>550</v>
      </c>
    </row>
    <row r="14" spans="1:12" ht="22.05" customHeight="1" x14ac:dyDescent="0.3">
      <c r="A14" s="16" t="s">
        <v>155</v>
      </c>
      <c r="B14" s="16" t="s">
        <v>437</v>
      </c>
      <c r="C14" s="16" t="s">
        <v>438</v>
      </c>
      <c r="D14" s="16" t="s">
        <v>425</v>
      </c>
      <c r="E14" s="49">
        <v>40</v>
      </c>
      <c r="F14" s="49">
        <v>80</v>
      </c>
    </row>
    <row r="15" spans="1:12" ht="22.05" customHeight="1" x14ac:dyDescent="0.3">
      <c r="A15" s="16" t="s">
        <v>155</v>
      </c>
      <c r="B15" s="16" t="s">
        <v>439</v>
      </c>
      <c r="C15" s="16" t="s">
        <v>438</v>
      </c>
      <c r="D15" s="16" t="s">
        <v>440</v>
      </c>
      <c r="E15" s="49">
        <v>30</v>
      </c>
      <c r="F15" s="49">
        <v>90</v>
      </c>
    </row>
    <row r="16" spans="1:12" ht="22.05" customHeight="1" x14ac:dyDescent="0.3">
      <c r="A16" s="16" t="s">
        <v>155</v>
      </c>
      <c r="B16" s="16" t="s">
        <v>441</v>
      </c>
      <c r="C16" s="16" t="s">
        <v>438</v>
      </c>
      <c r="D16" s="16" t="s">
        <v>425</v>
      </c>
      <c r="E16" s="49">
        <v>25</v>
      </c>
      <c r="F16" s="49">
        <v>50</v>
      </c>
    </row>
    <row r="17" spans="1:6" ht="22.05" customHeight="1" x14ac:dyDescent="0.3">
      <c r="A17" s="16" t="s">
        <v>155</v>
      </c>
      <c r="B17" s="16" t="s">
        <v>442</v>
      </c>
      <c r="C17" s="16" t="s">
        <v>438</v>
      </c>
      <c r="D17" s="16" t="s">
        <v>443</v>
      </c>
      <c r="E17" s="49">
        <v>40</v>
      </c>
      <c r="F17" s="49">
        <v>40</v>
      </c>
    </row>
    <row r="18" spans="1:6" ht="22.05" customHeight="1" x14ac:dyDescent="0.3">
      <c r="A18" s="16" t="s">
        <v>155</v>
      </c>
      <c r="B18" s="16" t="s">
        <v>444</v>
      </c>
      <c r="C18" s="16" t="s">
        <v>438</v>
      </c>
      <c r="D18" s="16" t="s">
        <v>435</v>
      </c>
      <c r="E18" s="49">
        <v>30</v>
      </c>
      <c r="F18" s="49">
        <v>30</v>
      </c>
    </row>
    <row r="19" spans="1:6" ht="22.05" customHeight="1" x14ac:dyDescent="0.3">
      <c r="A19" s="16" t="s">
        <v>155</v>
      </c>
      <c r="B19" s="16" t="s">
        <v>445</v>
      </c>
      <c r="C19" s="16" t="s">
        <v>438</v>
      </c>
      <c r="D19" s="16" t="s">
        <v>435</v>
      </c>
      <c r="E19" s="49">
        <v>40</v>
      </c>
      <c r="F19" s="49">
        <v>40</v>
      </c>
    </row>
    <row r="20" spans="1:6" ht="22.05" customHeight="1" x14ac:dyDescent="0.3">
      <c r="A20" s="16" t="s">
        <v>155</v>
      </c>
      <c r="B20" s="16" t="s">
        <v>446</v>
      </c>
      <c r="C20" s="16" t="s">
        <v>447</v>
      </c>
      <c r="D20" s="16" t="s">
        <v>448</v>
      </c>
      <c r="E20" s="49">
        <v>50</v>
      </c>
      <c r="F20" s="49">
        <v>50</v>
      </c>
    </row>
    <row r="21" spans="1:6" ht="22.05" customHeight="1" x14ac:dyDescent="0.3">
      <c r="A21" s="16" t="s">
        <v>155</v>
      </c>
      <c r="B21" s="16" t="s">
        <v>382</v>
      </c>
      <c r="C21" s="16" t="s">
        <v>447</v>
      </c>
      <c r="D21" s="16" t="s">
        <v>427</v>
      </c>
      <c r="E21" s="49">
        <v>180</v>
      </c>
      <c r="F21" s="49">
        <v>180</v>
      </c>
    </row>
    <row r="22" spans="1:6" ht="22.05" customHeight="1" x14ac:dyDescent="0.3">
      <c r="A22" s="16" t="s">
        <v>155</v>
      </c>
      <c r="B22" s="16" t="s">
        <v>383</v>
      </c>
      <c r="C22" s="16" t="s">
        <v>447</v>
      </c>
      <c r="D22" s="16" t="s">
        <v>427</v>
      </c>
      <c r="E22" s="49">
        <v>80</v>
      </c>
      <c r="F22" s="49">
        <v>80</v>
      </c>
    </row>
    <row r="23" spans="1:6" ht="22.05" customHeight="1" x14ac:dyDescent="0.3">
      <c r="A23" s="16" t="s">
        <v>155</v>
      </c>
      <c r="B23" s="16" t="s">
        <v>449</v>
      </c>
      <c r="C23" s="16" t="s">
        <v>450</v>
      </c>
      <c r="D23" s="16" t="s">
        <v>451</v>
      </c>
      <c r="E23" s="49">
        <v>40</v>
      </c>
      <c r="F23" s="49">
        <v>40</v>
      </c>
    </row>
    <row r="24" spans="1:6" ht="22.05" customHeight="1" x14ac:dyDescent="0.3">
      <c r="A24" s="16" t="s">
        <v>155</v>
      </c>
      <c r="B24" s="16" t="s">
        <v>452</v>
      </c>
      <c r="C24" s="16" t="s">
        <v>453</v>
      </c>
      <c r="D24" s="16" t="s">
        <v>448</v>
      </c>
      <c r="E24" s="49">
        <v>80</v>
      </c>
      <c r="F24" s="49">
        <v>80</v>
      </c>
    </row>
    <row r="25" spans="1:6" ht="22.05" customHeight="1" x14ac:dyDescent="0.3">
      <c r="A25" s="16" t="s">
        <v>155</v>
      </c>
      <c r="B25" s="16" t="s">
        <v>454</v>
      </c>
      <c r="C25" s="16" t="s">
        <v>455</v>
      </c>
      <c r="D25" s="16" t="s">
        <v>456</v>
      </c>
      <c r="E25" s="49">
        <v>140</v>
      </c>
      <c r="F25" s="49">
        <v>140</v>
      </c>
    </row>
    <row r="26" spans="1:6" ht="22.05" customHeight="1" x14ac:dyDescent="0.3">
      <c r="A26" s="16" t="s">
        <v>155</v>
      </c>
      <c r="B26" s="16" t="s">
        <v>457</v>
      </c>
      <c r="C26" s="16" t="s">
        <v>458</v>
      </c>
      <c r="D26" s="16" t="s">
        <v>427</v>
      </c>
      <c r="E26" s="49">
        <v>25</v>
      </c>
      <c r="F26" s="49">
        <v>25</v>
      </c>
    </row>
    <row r="27" spans="1:6" ht="22.05" customHeight="1" x14ac:dyDescent="0.3">
      <c r="A27" s="16" t="s">
        <v>155</v>
      </c>
      <c r="B27" s="16" t="s">
        <v>459</v>
      </c>
      <c r="C27" s="16" t="s">
        <v>458</v>
      </c>
      <c r="D27" s="16" t="s">
        <v>427</v>
      </c>
      <c r="E27" s="49">
        <v>45</v>
      </c>
      <c r="F27" s="49">
        <v>45</v>
      </c>
    </row>
    <row r="28" spans="1:6" ht="22.05" customHeight="1" x14ac:dyDescent="0.3">
      <c r="A28" s="16" t="s">
        <v>155</v>
      </c>
      <c r="B28" s="16" t="s">
        <v>460</v>
      </c>
      <c r="C28" s="16" t="s">
        <v>461</v>
      </c>
      <c r="D28" s="16" t="s">
        <v>435</v>
      </c>
      <c r="E28" s="49">
        <v>250</v>
      </c>
      <c r="F28" s="49">
        <v>250</v>
      </c>
    </row>
    <row r="29" spans="1:6" ht="22.05" customHeight="1" x14ac:dyDescent="0.3">
      <c r="A29" s="16" t="s">
        <v>155</v>
      </c>
      <c r="B29" s="16" t="s">
        <v>462</v>
      </c>
      <c r="C29" s="16" t="s">
        <v>461</v>
      </c>
      <c r="D29" s="16" t="s">
        <v>463</v>
      </c>
      <c r="E29" s="49">
        <v>400</v>
      </c>
      <c r="F29" s="49">
        <v>400</v>
      </c>
    </row>
    <row r="30" spans="1:6" x14ac:dyDescent="0.3">
      <c r="A30" s="32"/>
      <c r="B30" s="32" t="s">
        <v>418</v>
      </c>
      <c r="C30" s="32"/>
      <c r="D30" s="32"/>
      <c r="E30" s="32"/>
      <c r="F30" s="51">
        <f>SUM(F4:F29)</f>
        <v>4185</v>
      </c>
    </row>
  </sheetData>
  <mergeCells count="1">
    <mergeCell ref="A1:L1"/>
  </mergeCells>
  <hyperlinks>
    <hyperlink ref="A1" location="'Navigation'!A1" tooltip="Back" display="'Navigation'!A1" xr:uid="{B0CDC4DB-0301-4C03-B4A6-5AFE0D3F6DD4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5DFF-B484-4D98-ADC8-86BB0C1A8E8F}">
  <sheetPr codeName="Sheet20"/>
  <dimension ref="A1:L12"/>
  <sheetViews>
    <sheetView workbookViewId="0"/>
  </sheetViews>
  <sheetFormatPr defaultRowHeight="14.4" x14ac:dyDescent="0.3"/>
  <cols>
    <col min="1" max="1" width="10.77734375" customWidth="1"/>
    <col min="2" max="9" width="9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55" t="s">
        <v>464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x14ac:dyDescent="0.3">
      <c r="A4" s="52" t="s">
        <v>142</v>
      </c>
      <c r="B4" s="52" t="s">
        <v>143</v>
      </c>
      <c r="C4" s="52" t="s">
        <v>144</v>
      </c>
      <c r="D4" s="52" t="s">
        <v>145</v>
      </c>
      <c r="E4" s="52" t="s">
        <v>146</v>
      </c>
      <c r="F4" s="52" t="s">
        <v>147</v>
      </c>
      <c r="G4" s="52" t="s">
        <v>148</v>
      </c>
      <c r="H4" s="52" t="s">
        <v>149</v>
      </c>
      <c r="I4" s="52" t="s">
        <v>418</v>
      </c>
    </row>
    <row r="5" spans="1:12" ht="18" x14ac:dyDescent="0.35">
      <c r="A5" s="53">
        <v>0.25</v>
      </c>
      <c r="B5" s="54" t="s">
        <v>155</v>
      </c>
      <c r="C5" s="54" t="s">
        <v>155</v>
      </c>
      <c r="D5" s="54" t="s">
        <v>155</v>
      </c>
      <c r="E5" s="54" t="s">
        <v>155</v>
      </c>
      <c r="F5" s="54" t="s">
        <v>155</v>
      </c>
      <c r="G5" s="54" t="s">
        <v>155</v>
      </c>
      <c r="H5" s="54" t="s">
        <v>155</v>
      </c>
      <c r="I5">
        <f t="shared" ref="I5:I12" si="0">COUNTIF(B5:H5,"✅")</f>
        <v>0</v>
      </c>
    </row>
    <row r="6" spans="1:12" ht="18" x14ac:dyDescent="0.35">
      <c r="A6" s="53">
        <v>0.33333333333333331</v>
      </c>
      <c r="B6" s="54" t="s">
        <v>155</v>
      </c>
      <c r="C6" s="54" t="s">
        <v>155</v>
      </c>
      <c r="D6" s="54" t="s">
        <v>155</v>
      </c>
      <c r="E6" s="54" t="s">
        <v>155</v>
      </c>
      <c r="F6" s="54" t="s">
        <v>155</v>
      </c>
      <c r="G6" s="54" t="s">
        <v>155</v>
      </c>
      <c r="H6" s="54" t="s">
        <v>155</v>
      </c>
      <c r="I6">
        <f t="shared" si="0"/>
        <v>0</v>
      </c>
    </row>
    <row r="7" spans="1:12" ht="18" x14ac:dyDescent="0.35">
      <c r="A7" s="53">
        <v>0.41666666666666669</v>
      </c>
      <c r="B7" s="54" t="s">
        <v>155</v>
      </c>
      <c r="C7" s="54" t="s">
        <v>155</v>
      </c>
      <c r="D7" s="54" t="s">
        <v>155</v>
      </c>
      <c r="E7" s="54" t="s">
        <v>155</v>
      </c>
      <c r="F7" s="54" t="s">
        <v>155</v>
      </c>
      <c r="G7" s="54" t="s">
        <v>155</v>
      </c>
      <c r="H7" s="54" t="s">
        <v>155</v>
      </c>
      <c r="I7">
        <f t="shared" si="0"/>
        <v>0</v>
      </c>
    </row>
    <row r="8" spans="1:12" ht="18" x14ac:dyDescent="0.35">
      <c r="A8" s="53">
        <v>0.5</v>
      </c>
      <c r="B8" s="54" t="s">
        <v>155</v>
      </c>
      <c r="C8" s="54" t="s">
        <v>155</v>
      </c>
      <c r="D8" s="54" t="s">
        <v>155</v>
      </c>
      <c r="E8" s="54" t="s">
        <v>155</v>
      </c>
      <c r="F8" s="54" t="s">
        <v>155</v>
      </c>
      <c r="G8" s="54" t="s">
        <v>155</v>
      </c>
      <c r="H8" s="54" t="s">
        <v>155</v>
      </c>
      <c r="I8">
        <f t="shared" si="0"/>
        <v>0</v>
      </c>
    </row>
    <row r="9" spans="1:12" ht="18" x14ac:dyDescent="0.35">
      <c r="A9" s="53">
        <v>0.58333333333333337</v>
      </c>
      <c r="B9" s="54" t="s">
        <v>155</v>
      </c>
      <c r="C9" s="54" t="s">
        <v>155</v>
      </c>
      <c r="D9" s="54" t="s">
        <v>155</v>
      </c>
      <c r="E9" s="54" t="s">
        <v>155</v>
      </c>
      <c r="F9" s="54" t="s">
        <v>155</v>
      </c>
      <c r="G9" s="54" t="s">
        <v>155</v>
      </c>
      <c r="H9" s="54" t="s">
        <v>155</v>
      </c>
      <c r="I9">
        <f t="shared" si="0"/>
        <v>0</v>
      </c>
    </row>
    <row r="10" spans="1:12" ht="18" x14ac:dyDescent="0.35">
      <c r="A10" s="53">
        <v>0.66666666666666663</v>
      </c>
      <c r="B10" s="54" t="s">
        <v>155</v>
      </c>
      <c r="C10" s="54" t="s">
        <v>155</v>
      </c>
      <c r="D10" s="54" t="s">
        <v>155</v>
      </c>
      <c r="E10" s="54" t="s">
        <v>155</v>
      </c>
      <c r="F10" s="54" t="s">
        <v>155</v>
      </c>
      <c r="G10" s="54" t="s">
        <v>155</v>
      </c>
      <c r="H10" s="54" t="s">
        <v>155</v>
      </c>
      <c r="I10">
        <f t="shared" si="0"/>
        <v>0</v>
      </c>
    </row>
    <row r="11" spans="1:12" ht="18" x14ac:dyDescent="0.35">
      <c r="A11" s="53">
        <v>0.75</v>
      </c>
      <c r="B11" s="54" t="s">
        <v>155</v>
      </c>
      <c r="C11" s="54" t="s">
        <v>155</v>
      </c>
      <c r="D11" s="54" t="s">
        <v>155</v>
      </c>
      <c r="E11" s="54" t="s">
        <v>155</v>
      </c>
      <c r="F11" s="54" t="s">
        <v>155</v>
      </c>
      <c r="G11" s="54" t="s">
        <v>155</v>
      </c>
      <c r="H11" s="54" t="s">
        <v>155</v>
      </c>
      <c r="I11">
        <f t="shared" si="0"/>
        <v>0</v>
      </c>
    </row>
    <row r="12" spans="1:12" ht="18" x14ac:dyDescent="0.35">
      <c r="A12" s="53">
        <v>0.83333333333333337</v>
      </c>
      <c r="B12" s="54" t="s">
        <v>155</v>
      </c>
      <c r="C12" s="54" t="s">
        <v>155</v>
      </c>
      <c r="D12" s="54" t="s">
        <v>155</v>
      </c>
      <c r="E12" s="54" t="s">
        <v>155</v>
      </c>
      <c r="F12" s="54" t="s">
        <v>155</v>
      </c>
      <c r="G12" s="54" t="s">
        <v>155</v>
      </c>
      <c r="H12" s="54" t="s">
        <v>155</v>
      </c>
      <c r="I12">
        <f t="shared" si="0"/>
        <v>0</v>
      </c>
    </row>
  </sheetData>
  <mergeCells count="2">
    <mergeCell ref="A1:L1"/>
    <mergeCell ref="A3:L3"/>
  </mergeCells>
  <hyperlinks>
    <hyperlink ref="A1" location="'Navigation'!A1" tooltip="Back" display="'Navigation'!A1" xr:uid="{7BEE2E9E-2914-44FD-9459-9349B71B970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B3B8-229B-4EA6-B593-A4D47571A439}">
  <sheetPr codeName="Sheet21"/>
  <dimension ref="A1:L10"/>
  <sheetViews>
    <sheetView workbookViewId="0"/>
  </sheetViews>
  <sheetFormatPr defaultRowHeight="14.4" x14ac:dyDescent="0.3"/>
  <cols>
    <col min="1" max="1" width="20.77734375" customWidth="1"/>
    <col min="2" max="8" width="12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363</v>
      </c>
      <c r="B3" s="48" t="s">
        <v>143</v>
      </c>
      <c r="C3" s="48" t="s">
        <v>144</v>
      </c>
      <c r="D3" s="48" t="s">
        <v>145</v>
      </c>
      <c r="E3" s="48" t="s">
        <v>146</v>
      </c>
      <c r="F3" s="48" t="s">
        <v>147</v>
      </c>
      <c r="G3" s="48" t="s">
        <v>148</v>
      </c>
      <c r="H3" s="48" t="s">
        <v>149</v>
      </c>
      <c r="I3" s="2"/>
      <c r="J3" s="2"/>
      <c r="K3" s="2"/>
      <c r="L3" s="2"/>
    </row>
    <row r="4" spans="1:12" ht="22.05" customHeight="1" x14ac:dyDescent="0.3">
      <c r="A4" s="50" t="s">
        <v>159</v>
      </c>
      <c r="B4" s="1">
        <v>350</v>
      </c>
      <c r="C4" s="1">
        <v>320</v>
      </c>
      <c r="D4" s="1">
        <v>400</v>
      </c>
      <c r="E4" s="1">
        <v>380</v>
      </c>
      <c r="F4" s="1">
        <v>420</v>
      </c>
      <c r="G4" s="1">
        <v>450</v>
      </c>
      <c r="H4" s="1">
        <v>380</v>
      </c>
    </row>
    <row r="5" spans="1:12" ht="22.05" customHeight="1" x14ac:dyDescent="0.3">
      <c r="A5" s="50" t="s">
        <v>465</v>
      </c>
      <c r="B5" s="1">
        <v>150</v>
      </c>
      <c r="C5" s="1">
        <v>180</v>
      </c>
      <c r="D5" s="1">
        <v>120</v>
      </c>
      <c r="E5" s="1">
        <v>160</v>
      </c>
      <c r="F5" s="1">
        <v>140</v>
      </c>
      <c r="G5" s="1">
        <v>200</v>
      </c>
      <c r="H5" s="1">
        <v>150</v>
      </c>
    </row>
    <row r="6" spans="1:12" ht="22.05" customHeight="1" x14ac:dyDescent="0.3">
      <c r="A6" s="50" t="s">
        <v>466</v>
      </c>
      <c r="B6" s="1">
        <v>600</v>
      </c>
      <c r="C6" s="1">
        <v>550</v>
      </c>
      <c r="D6" s="1">
        <v>650</v>
      </c>
      <c r="E6" s="1">
        <v>580</v>
      </c>
      <c r="F6" s="1">
        <v>620</v>
      </c>
      <c r="G6" s="1">
        <v>700</v>
      </c>
      <c r="H6" s="1">
        <v>600</v>
      </c>
    </row>
    <row r="7" spans="1:12" ht="22.05" customHeight="1" x14ac:dyDescent="0.3">
      <c r="A7" s="50" t="s">
        <v>467</v>
      </c>
      <c r="B7" s="1">
        <v>200</v>
      </c>
      <c r="C7" s="1">
        <v>250</v>
      </c>
      <c r="D7" s="1">
        <v>180</v>
      </c>
      <c r="E7" s="1">
        <v>220</v>
      </c>
      <c r="F7" s="1">
        <v>240</v>
      </c>
      <c r="G7" s="1">
        <v>280</v>
      </c>
      <c r="H7" s="1">
        <v>200</v>
      </c>
    </row>
    <row r="8" spans="1:12" ht="22.05" customHeight="1" x14ac:dyDescent="0.3">
      <c r="A8" s="50" t="s">
        <v>170</v>
      </c>
      <c r="B8" s="1">
        <v>500</v>
      </c>
      <c r="C8" s="1">
        <v>480</v>
      </c>
      <c r="D8" s="1">
        <v>550</v>
      </c>
      <c r="E8" s="1">
        <v>520</v>
      </c>
      <c r="F8" s="1">
        <v>540</v>
      </c>
      <c r="G8" s="1">
        <v>600</v>
      </c>
      <c r="H8" s="1">
        <v>500</v>
      </c>
    </row>
    <row r="9" spans="1:12" ht="22.05" customHeight="1" x14ac:dyDescent="0.3">
      <c r="A9" s="50" t="s">
        <v>468</v>
      </c>
      <c r="B9" s="1">
        <v>150</v>
      </c>
      <c r="C9" s="1">
        <v>150</v>
      </c>
      <c r="D9" s="1">
        <v>150</v>
      </c>
      <c r="E9" s="1">
        <v>150</v>
      </c>
      <c r="F9" s="1">
        <v>150</v>
      </c>
      <c r="G9" s="1">
        <v>150</v>
      </c>
      <c r="H9" s="1">
        <v>150</v>
      </c>
    </row>
    <row r="10" spans="1:12" x14ac:dyDescent="0.3">
      <c r="A10" s="55" t="s">
        <v>196</v>
      </c>
      <c r="B10" s="56">
        <f t="shared" ref="B10:H10" si="0">SUM(B4:B9)</f>
        <v>1950</v>
      </c>
      <c r="C10" s="56">
        <f t="shared" si="0"/>
        <v>1930</v>
      </c>
      <c r="D10" s="56">
        <f t="shared" si="0"/>
        <v>2050</v>
      </c>
      <c r="E10" s="56">
        <f t="shared" si="0"/>
        <v>2010</v>
      </c>
      <c r="F10" s="56">
        <f t="shared" si="0"/>
        <v>2110</v>
      </c>
      <c r="G10" s="56">
        <f t="shared" si="0"/>
        <v>2380</v>
      </c>
      <c r="H10" s="56">
        <f t="shared" si="0"/>
        <v>1980</v>
      </c>
    </row>
  </sheetData>
  <mergeCells count="1">
    <mergeCell ref="A1:L1"/>
  </mergeCells>
  <hyperlinks>
    <hyperlink ref="A1" location="'Navigation'!A1" tooltip="Back" display="'Navigation'!A1" xr:uid="{30ECC5AF-7C4A-47AD-8A94-F3A22BF3906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BB36-72FD-4D16-BB9A-CC6603D6B1EA}">
  <sheetPr codeName="Sheet22"/>
  <dimension ref="A1:L13"/>
  <sheetViews>
    <sheetView workbookViewId="0">
      <selection activeCell="C13" sqref="C13"/>
    </sheetView>
  </sheetViews>
  <sheetFormatPr defaultRowHeight="14.4" x14ac:dyDescent="0.3"/>
  <cols>
    <col min="1" max="2" width="12.77734375" customWidth="1"/>
    <col min="3" max="3" width="22.77734375" customWidth="1"/>
    <col min="4" max="4" width="18.77734375" customWidth="1"/>
    <col min="5" max="5" width="10.77734375" customWidth="1"/>
    <col min="6" max="6" width="20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469</v>
      </c>
      <c r="B3" s="48" t="s">
        <v>470</v>
      </c>
      <c r="C3" s="48" t="s">
        <v>268</v>
      </c>
      <c r="D3" s="48" t="s">
        <v>471</v>
      </c>
      <c r="E3" s="48" t="s">
        <v>181</v>
      </c>
      <c r="F3" s="48" t="s">
        <v>150</v>
      </c>
      <c r="G3" s="2"/>
      <c r="H3" s="2"/>
      <c r="I3" s="2"/>
      <c r="J3" s="2"/>
      <c r="K3" s="2"/>
      <c r="L3" s="2"/>
    </row>
    <row r="4" spans="1:12" ht="22.05" customHeight="1" x14ac:dyDescent="0.3">
      <c r="A4" s="16" t="s">
        <v>472</v>
      </c>
      <c r="B4" s="37">
        <v>0.41666666666666669</v>
      </c>
      <c r="C4" s="16" t="s">
        <v>473</v>
      </c>
      <c r="D4" s="16" t="s">
        <v>474</v>
      </c>
      <c r="E4" s="16" t="s">
        <v>155</v>
      </c>
      <c r="F4" s="16" t="s">
        <v>475</v>
      </c>
    </row>
    <row r="5" spans="1:12" ht="22.05" customHeight="1" x14ac:dyDescent="0.3">
      <c r="A5" s="16" t="s">
        <v>472</v>
      </c>
      <c r="B5" s="37">
        <v>0.70833333333333337</v>
      </c>
      <c r="C5" s="16" t="s">
        <v>476</v>
      </c>
      <c r="D5" s="16" t="s">
        <v>477</v>
      </c>
      <c r="E5" s="16" t="s">
        <v>155</v>
      </c>
      <c r="F5" s="16" t="s">
        <v>478</v>
      </c>
    </row>
    <row r="6" spans="1:12" ht="22.05" customHeight="1" x14ac:dyDescent="0.3">
      <c r="A6" s="16" t="s">
        <v>479</v>
      </c>
      <c r="B6" s="37">
        <v>0.29166666666666669</v>
      </c>
      <c r="C6" s="16" t="s">
        <v>480</v>
      </c>
      <c r="D6" s="16" t="s">
        <v>477</v>
      </c>
      <c r="E6" s="16" t="s">
        <v>155</v>
      </c>
      <c r="F6" s="16" t="s">
        <v>481</v>
      </c>
    </row>
    <row r="7" spans="1:12" ht="22.05" customHeight="1" x14ac:dyDescent="0.3">
      <c r="A7" s="16" t="s">
        <v>479</v>
      </c>
      <c r="B7" s="37">
        <v>0.83333333333333337</v>
      </c>
      <c r="C7" s="16" t="s">
        <v>482</v>
      </c>
      <c r="D7" s="16" t="s">
        <v>483</v>
      </c>
      <c r="E7" s="16" t="s">
        <v>155</v>
      </c>
      <c r="F7" s="16" t="s">
        <v>484</v>
      </c>
    </row>
    <row r="8" spans="1:12" ht="22.05" customHeight="1" x14ac:dyDescent="0.3">
      <c r="A8" s="16" t="s">
        <v>485</v>
      </c>
      <c r="B8" s="37">
        <v>0.875</v>
      </c>
      <c r="C8" s="16" t="s">
        <v>486</v>
      </c>
      <c r="D8" s="16" t="s">
        <v>487</v>
      </c>
      <c r="E8" s="16" t="s">
        <v>155</v>
      </c>
      <c r="F8" s="16" t="s">
        <v>488</v>
      </c>
    </row>
    <row r="9" spans="1:12" ht="22.05" customHeight="1" x14ac:dyDescent="0.3">
      <c r="A9" s="16" t="s">
        <v>489</v>
      </c>
      <c r="B9" s="37">
        <v>0.83333333333333337</v>
      </c>
      <c r="C9" s="16" t="s">
        <v>490</v>
      </c>
      <c r="D9" s="16" t="s">
        <v>491</v>
      </c>
      <c r="E9" s="16" t="s">
        <v>155</v>
      </c>
      <c r="F9" s="16" t="s">
        <v>478</v>
      </c>
    </row>
    <row r="10" spans="1:12" ht="22.05" customHeight="1" x14ac:dyDescent="0.3">
      <c r="A10" s="16" t="s">
        <v>492</v>
      </c>
      <c r="B10" s="37">
        <v>0.83333333333333337</v>
      </c>
      <c r="C10" s="16" t="s">
        <v>493</v>
      </c>
      <c r="D10" s="16" t="s">
        <v>494</v>
      </c>
      <c r="E10" s="16" t="s">
        <v>155</v>
      </c>
      <c r="F10" s="16" t="s">
        <v>495</v>
      </c>
    </row>
    <row r="11" spans="1:12" ht="22.05" customHeight="1" x14ac:dyDescent="0.3">
      <c r="A11" s="16" t="s">
        <v>496</v>
      </c>
      <c r="B11" s="37">
        <v>0.83333333333333337</v>
      </c>
      <c r="C11" s="16" t="s">
        <v>497</v>
      </c>
      <c r="D11" s="16" t="s">
        <v>498</v>
      </c>
      <c r="E11" s="16" t="s">
        <v>155</v>
      </c>
      <c r="F11" s="16" t="s">
        <v>499</v>
      </c>
    </row>
    <row r="12" spans="1:12" ht="22.05" customHeight="1" x14ac:dyDescent="0.3">
      <c r="A12" s="16" t="s">
        <v>498</v>
      </c>
      <c r="B12" s="37">
        <v>0.41666666666666669</v>
      </c>
      <c r="C12" s="16" t="s">
        <v>500</v>
      </c>
      <c r="D12" s="16" t="s">
        <v>501</v>
      </c>
      <c r="E12" s="16" t="s">
        <v>155</v>
      </c>
      <c r="F12" s="16" t="s">
        <v>502</v>
      </c>
    </row>
    <row r="13" spans="1:12" ht="22.05" customHeight="1" x14ac:dyDescent="0.3">
      <c r="A13" s="16" t="s">
        <v>498</v>
      </c>
      <c r="B13" s="37">
        <v>0.70833333333333337</v>
      </c>
      <c r="C13" s="16" t="s">
        <v>503</v>
      </c>
      <c r="D13" s="16" t="s">
        <v>504</v>
      </c>
      <c r="E13" s="16" t="s">
        <v>155</v>
      </c>
      <c r="F13" s="16" t="s">
        <v>505</v>
      </c>
    </row>
  </sheetData>
  <mergeCells count="1">
    <mergeCell ref="A1:L1"/>
  </mergeCells>
  <hyperlinks>
    <hyperlink ref="A1" location="'Navigation'!A1" tooltip="Back" display="'Navigation'!A1" xr:uid="{F58C3B0E-15E4-4FFB-BD1C-C18A70C04F7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E57E-C7C9-46FF-9A3A-CFE131B551A6}">
  <sheetPr codeName="Sheet23"/>
  <dimension ref="A1:L21"/>
  <sheetViews>
    <sheetView workbookViewId="0">
      <selection sqref="A1:L1"/>
    </sheetView>
  </sheetViews>
  <sheetFormatPr defaultRowHeight="14.4" x14ac:dyDescent="0.3"/>
  <cols>
    <col min="1" max="1" width="6.77734375" customWidth="1"/>
    <col min="2" max="2" width="35.77734375" customWidth="1"/>
    <col min="3" max="3" width="15.77734375" customWidth="1"/>
    <col min="4" max="4" width="12.77734375" customWidth="1"/>
    <col min="5" max="5" width="10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506</v>
      </c>
      <c r="B3" s="48" t="s">
        <v>507</v>
      </c>
      <c r="C3" s="48" t="s">
        <v>508</v>
      </c>
      <c r="D3" s="48" t="s">
        <v>142</v>
      </c>
      <c r="E3" s="48" t="s">
        <v>181</v>
      </c>
      <c r="F3" s="2"/>
      <c r="G3" s="2"/>
      <c r="H3" s="2"/>
      <c r="I3" s="2"/>
      <c r="J3" s="2"/>
      <c r="K3" s="2"/>
      <c r="L3" s="2"/>
    </row>
    <row r="4" spans="1:12" ht="22.05" customHeight="1" x14ac:dyDescent="0.3">
      <c r="A4" s="16">
        <v>1</v>
      </c>
      <c r="B4" s="38" t="s">
        <v>509</v>
      </c>
      <c r="C4" s="16" t="s">
        <v>281</v>
      </c>
      <c r="D4" s="16" t="s">
        <v>510</v>
      </c>
      <c r="E4" s="16" t="s">
        <v>511</v>
      </c>
    </row>
    <row r="5" spans="1:12" ht="22.05" customHeight="1" x14ac:dyDescent="0.3">
      <c r="A5" s="16">
        <v>2</v>
      </c>
      <c r="B5" s="38" t="s">
        <v>512</v>
      </c>
      <c r="C5" s="16" t="s">
        <v>281</v>
      </c>
      <c r="D5" s="16" t="s">
        <v>513</v>
      </c>
      <c r="E5" s="16" t="s">
        <v>511</v>
      </c>
    </row>
    <row r="6" spans="1:12" ht="22.05" customHeight="1" x14ac:dyDescent="0.3">
      <c r="A6" s="16">
        <v>3</v>
      </c>
      <c r="B6" s="38" t="s">
        <v>514</v>
      </c>
      <c r="C6" s="16" t="s">
        <v>281</v>
      </c>
      <c r="D6" s="16" t="s">
        <v>515</v>
      </c>
      <c r="E6" s="16" t="s">
        <v>511</v>
      </c>
    </row>
    <row r="7" spans="1:12" ht="22.05" customHeight="1" x14ac:dyDescent="0.3">
      <c r="A7" s="16">
        <v>4</v>
      </c>
      <c r="B7" s="38" t="s">
        <v>516</v>
      </c>
      <c r="C7" s="16" t="s">
        <v>281</v>
      </c>
      <c r="D7" s="16" t="s">
        <v>282</v>
      </c>
      <c r="E7" s="16" t="s">
        <v>511</v>
      </c>
    </row>
    <row r="8" spans="1:12" ht="22.05" customHeight="1" x14ac:dyDescent="0.3">
      <c r="A8" s="16">
        <v>5</v>
      </c>
      <c r="B8" s="38" t="s">
        <v>517</v>
      </c>
      <c r="C8" s="16" t="s">
        <v>291</v>
      </c>
      <c r="D8" s="16" t="s">
        <v>282</v>
      </c>
      <c r="E8" s="16" t="s">
        <v>511</v>
      </c>
    </row>
    <row r="9" spans="1:12" ht="22.05" customHeight="1" x14ac:dyDescent="0.3">
      <c r="A9" s="16">
        <v>6</v>
      </c>
      <c r="B9" s="38" t="s">
        <v>518</v>
      </c>
      <c r="C9" s="16" t="s">
        <v>291</v>
      </c>
      <c r="D9" s="16" t="s">
        <v>519</v>
      </c>
      <c r="E9" s="16" t="s">
        <v>511</v>
      </c>
    </row>
    <row r="10" spans="1:12" ht="22.05" customHeight="1" x14ac:dyDescent="0.3">
      <c r="A10" s="16">
        <v>7</v>
      </c>
      <c r="B10" s="38" t="s">
        <v>520</v>
      </c>
      <c r="C10" s="16" t="s">
        <v>291</v>
      </c>
      <c r="D10" s="16" t="s">
        <v>521</v>
      </c>
      <c r="E10" s="16" t="s">
        <v>511</v>
      </c>
    </row>
    <row r="11" spans="1:12" ht="22.05" customHeight="1" x14ac:dyDescent="0.3">
      <c r="A11" s="16">
        <v>8</v>
      </c>
      <c r="B11" s="38" t="s">
        <v>522</v>
      </c>
      <c r="C11" s="16" t="s">
        <v>291</v>
      </c>
      <c r="D11" s="16" t="s">
        <v>523</v>
      </c>
      <c r="E11" s="16" t="s">
        <v>511</v>
      </c>
    </row>
    <row r="12" spans="1:12" ht="22.05" customHeight="1" x14ac:dyDescent="0.3">
      <c r="A12" s="16">
        <v>9</v>
      </c>
      <c r="B12" s="38" t="s">
        <v>524</v>
      </c>
      <c r="C12" s="16" t="s">
        <v>299</v>
      </c>
      <c r="D12" s="16" t="s">
        <v>521</v>
      </c>
      <c r="E12" s="16" t="s">
        <v>511</v>
      </c>
    </row>
    <row r="13" spans="1:12" ht="22.05" customHeight="1" x14ac:dyDescent="0.3">
      <c r="A13" s="16">
        <v>10</v>
      </c>
      <c r="B13" s="38" t="s">
        <v>525</v>
      </c>
      <c r="C13" s="16" t="s">
        <v>299</v>
      </c>
      <c r="D13" s="16" t="s">
        <v>526</v>
      </c>
      <c r="E13" s="16" t="s">
        <v>511</v>
      </c>
    </row>
    <row r="14" spans="1:12" ht="22.05" customHeight="1" x14ac:dyDescent="0.3">
      <c r="A14" s="16">
        <v>11</v>
      </c>
      <c r="B14" s="38" t="s">
        <v>527</v>
      </c>
      <c r="C14" s="16" t="s">
        <v>299</v>
      </c>
      <c r="D14" s="16" t="s">
        <v>282</v>
      </c>
      <c r="E14" s="16" t="s">
        <v>511</v>
      </c>
    </row>
    <row r="15" spans="1:12" ht="22.05" customHeight="1" x14ac:dyDescent="0.3">
      <c r="A15" s="16">
        <v>12</v>
      </c>
      <c r="B15" s="38" t="s">
        <v>528</v>
      </c>
      <c r="C15" s="16" t="s">
        <v>299</v>
      </c>
      <c r="D15" s="16" t="s">
        <v>519</v>
      </c>
      <c r="E15" s="16" t="s">
        <v>529</v>
      </c>
    </row>
    <row r="16" spans="1:12" ht="22.05" customHeight="1" x14ac:dyDescent="0.3">
      <c r="A16" s="16">
        <v>13</v>
      </c>
      <c r="B16" s="38" t="s">
        <v>530</v>
      </c>
      <c r="C16" s="16" t="s">
        <v>531</v>
      </c>
      <c r="D16" s="16" t="s">
        <v>510</v>
      </c>
      <c r="E16" s="16" t="s">
        <v>511</v>
      </c>
    </row>
    <row r="17" spans="1:5" ht="22.05" customHeight="1" x14ac:dyDescent="0.3">
      <c r="A17" s="16">
        <v>14</v>
      </c>
      <c r="B17" s="38" t="s">
        <v>532</v>
      </c>
      <c r="C17" s="16" t="s">
        <v>531</v>
      </c>
      <c r="D17" s="16" t="s">
        <v>513</v>
      </c>
      <c r="E17" s="16" t="s">
        <v>511</v>
      </c>
    </row>
    <row r="18" spans="1:5" ht="22.05" customHeight="1" x14ac:dyDescent="0.3">
      <c r="A18" s="16">
        <v>15</v>
      </c>
      <c r="B18" s="38" t="s">
        <v>533</v>
      </c>
      <c r="C18" s="16" t="s">
        <v>534</v>
      </c>
      <c r="D18" s="16" t="s">
        <v>510</v>
      </c>
      <c r="E18" s="16" t="s">
        <v>511</v>
      </c>
    </row>
    <row r="19" spans="1:5" ht="22.05" customHeight="1" x14ac:dyDescent="0.3">
      <c r="A19" s="16">
        <v>16</v>
      </c>
      <c r="B19" s="38" t="s">
        <v>535</v>
      </c>
      <c r="C19" s="16" t="s">
        <v>534</v>
      </c>
      <c r="D19" s="16" t="s">
        <v>510</v>
      </c>
      <c r="E19" s="16" t="s">
        <v>529</v>
      </c>
    </row>
    <row r="20" spans="1:5" ht="22.05" customHeight="1" x14ac:dyDescent="0.3">
      <c r="A20" s="16">
        <v>17</v>
      </c>
      <c r="B20" s="38" t="s">
        <v>536</v>
      </c>
      <c r="C20" s="16" t="s">
        <v>537</v>
      </c>
      <c r="D20" s="16" t="s">
        <v>538</v>
      </c>
      <c r="E20" s="16" t="s">
        <v>529</v>
      </c>
    </row>
    <row r="21" spans="1:5" ht="22.05" customHeight="1" x14ac:dyDescent="0.3">
      <c r="A21" s="16">
        <v>18</v>
      </c>
      <c r="B21" s="38" t="s">
        <v>539</v>
      </c>
      <c r="C21" s="16" t="s">
        <v>537</v>
      </c>
      <c r="D21" s="16" t="s">
        <v>519</v>
      </c>
      <c r="E21" s="16" t="s">
        <v>529</v>
      </c>
    </row>
  </sheetData>
  <mergeCells count="1">
    <mergeCell ref="A1:L1"/>
  </mergeCells>
  <hyperlinks>
    <hyperlink ref="A1" location="'Navigation'!A1" tooltip="Back" display="'Navigation'!A1" xr:uid="{113C7E03-8B00-45AF-9421-689552713C81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3303-95DB-4B8F-B798-04D28B5076F9}">
  <sheetPr codeName="Sheet24"/>
  <dimension ref="A1:L11"/>
  <sheetViews>
    <sheetView workbookViewId="0"/>
  </sheetViews>
  <sheetFormatPr defaultRowHeight="14.4" x14ac:dyDescent="0.3"/>
  <cols>
    <col min="1" max="1" width="18.77734375" customWidth="1"/>
    <col min="2" max="2" width="10.77734375" customWidth="1"/>
    <col min="3" max="9" width="18.77734375" customWidth="1"/>
    <col min="10" max="10" width="10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28.05" customHeight="1" x14ac:dyDescent="0.3">
      <c r="A3" s="44" t="s">
        <v>363</v>
      </c>
      <c r="B3" s="45" t="s">
        <v>142</v>
      </c>
      <c r="C3" s="45" t="s">
        <v>143</v>
      </c>
      <c r="D3" s="45" t="s">
        <v>144</v>
      </c>
      <c r="E3" s="45" t="s">
        <v>145</v>
      </c>
      <c r="F3" s="45" t="s">
        <v>146</v>
      </c>
      <c r="G3" s="45" t="s">
        <v>147</v>
      </c>
      <c r="H3" s="45" t="s">
        <v>148</v>
      </c>
      <c r="I3" s="45" t="s">
        <v>149</v>
      </c>
      <c r="J3" s="45" t="s">
        <v>540</v>
      </c>
      <c r="K3" s="2"/>
      <c r="L3" s="2"/>
    </row>
    <row r="4" spans="1:12" ht="28.05" customHeight="1" x14ac:dyDescent="0.3">
      <c r="A4" s="58" t="s">
        <v>541</v>
      </c>
      <c r="B4" s="37">
        <v>0.25</v>
      </c>
      <c r="C4" s="16" t="s">
        <v>542</v>
      </c>
      <c r="D4" s="16" t="s">
        <v>543</v>
      </c>
      <c r="E4" s="16" t="s">
        <v>544</v>
      </c>
      <c r="F4" s="16" t="s">
        <v>545</v>
      </c>
      <c r="G4" s="16" t="s">
        <v>543</v>
      </c>
      <c r="H4" s="16" t="s">
        <v>546</v>
      </c>
      <c r="I4" s="16" t="s">
        <v>547</v>
      </c>
      <c r="J4" s="16">
        <v>350</v>
      </c>
    </row>
    <row r="5" spans="1:12" ht="28.05" customHeight="1" x14ac:dyDescent="0.3">
      <c r="A5" s="58" t="s">
        <v>159</v>
      </c>
      <c r="B5" s="37">
        <v>0.3125</v>
      </c>
      <c r="C5" s="16" t="s">
        <v>548</v>
      </c>
      <c r="D5" s="16" t="s">
        <v>549</v>
      </c>
      <c r="E5" s="16" t="s">
        <v>550</v>
      </c>
      <c r="F5" s="16" t="s">
        <v>551</v>
      </c>
      <c r="G5" s="16" t="s">
        <v>376</v>
      </c>
      <c r="H5" s="16" t="s">
        <v>552</v>
      </c>
      <c r="I5" s="16" t="s">
        <v>378</v>
      </c>
      <c r="J5" s="16">
        <v>650</v>
      </c>
    </row>
    <row r="6" spans="1:12" ht="28.05" customHeight="1" x14ac:dyDescent="0.3">
      <c r="A6" s="58" t="s">
        <v>465</v>
      </c>
      <c r="B6" s="37">
        <v>0.4375</v>
      </c>
      <c r="C6" s="16" t="s">
        <v>553</v>
      </c>
      <c r="D6" s="16" t="s">
        <v>554</v>
      </c>
      <c r="E6" s="16" t="s">
        <v>543</v>
      </c>
      <c r="F6" s="16" t="s">
        <v>555</v>
      </c>
      <c r="G6" s="16" t="s">
        <v>556</v>
      </c>
      <c r="H6" s="16" t="s">
        <v>547</v>
      </c>
      <c r="I6" s="16" t="s">
        <v>557</v>
      </c>
      <c r="J6" s="16">
        <v>400</v>
      </c>
    </row>
    <row r="7" spans="1:12" ht="28.05" customHeight="1" x14ac:dyDescent="0.3">
      <c r="A7" s="58" t="s">
        <v>466</v>
      </c>
      <c r="B7" s="37">
        <v>0.54166666666666663</v>
      </c>
      <c r="C7" s="16" t="s">
        <v>558</v>
      </c>
      <c r="D7" s="16" t="s">
        <v>390</v>
      </c>
      <c r="E7" s="16" t="s">
        <v>559</v>
      </c>
      <c r="F7" s="16" t="s">
        <v>560</v>
      </c>
      <c r="G7" s="16" t="s">
        <v>392</v>
      </c>
      <c r="H7" s="16" t="s">
        <v>561</v>
      </c>
      <c r="I7" s="16" t="s">
        <v>562</v>
      </c>
      <c r="J7" s="16">
        <v>750</v>
      </c>
    </row>
    <row r="8" spans="1:12" ht="28.05" customHeight="1" x14ac:dyDescent="0.3">
      <c r="A8" s="58" t="s">
        <v>563</v>
      </c>
      <c r="B8" s="37">
        <v>0.70833333333333337</v>
      </c>
      <c r="C8" s="16" t="s">
        <v>564</v>
      </c>
      <c r="D8" s="16" t="s">
        <v>565</v>
      </c>
      <c r="E8" s="16" t="s">
        <v>566</v>
      </c>
      <c r="F8" s="16" t="s">
        <v>567</v>
      </c>
      <c r="G8" s="16" t="s">
        <v>568</v>
      </c>
      <c r="H8" s="16" t="s">
        <v>569</v>
      </c>
      <c r="I8" s="16" t="s">
        <v>570</v>
      </c>
      <c r="J8" s="16">
        <v>450</v>
      </c>
    </row>
    <row r="9" spans="1:12" ht="28.05" customHeight="1" x14ac:dyDescent="0.3">
      <c r="A9" s="58" t="s">
        <v>170</v>
      </c>
      <c r="B9" s="37">
        <v>0.83333333333333337</v>
      </c>
      <c r="C9" s="16" t="s">
        <v>404</v>
      </c>
      <c r="D9" s="16" t="s">
        <v>571</v>
      </c>
      <c r="E9" s="16" t="s">
        <v>572</v>
      </c>
      <c r="F9" s="16" t="s">
        <v>573</v>
      </c>
      <c r="G9" s="16" t="s">
        <v>574</v>
      </c>
      <c r="H9" s="16" t="s">
        <v>575</v>
      </c>
      <c r="I9" s="16" t="s">
        <v>576</v>
      </c>
      <c r="J9" s="16">
        <v>600</v>
      </c>
    </row>
    <row r="10" spans="1:12" ht="28.05" customHeight="1" x14ac:dyDescent="0.3">
      <c r="A10" s="58" t="s">
        <v>468</v>
      </c>
      <c r="B10" s="37">
        <v>0.91666666666666663</v>
      </c>
      <c r="C10" s="16" t="s">
        <v>577</v>
      </c>
      <c r="D10" s="16" t="s">
        <v>413</v>
      </c>
      <c r="E10" s="16" t="s">
        <v>578</v>
      </c>
      <c r="F10" s="16" t="s">
        <v>579</v>
      </c>
      <c r="G10" s="16" t="s">
        <v>577</v>
      </c>
      <c r="H10" s="16" t="s">
        <v>413</v>
      </c>
      <c r="I10" s="16" t="s">
        <v>412</v>
      </c>
      <c r="J10" s="16">
        <v>300</v>
      </c>
    </row>
    <row r="11" spans="1:12" x14ac:dyDescent="0.3">
      <c r="A11" s="31" t="s">
        <v>196</v>
      </c>
      <c r="B11" s="31"/>
      <c r="C11" s="31"/>
      <c r="D11" s="31"/>
      <c r="E11" s="31"/>
      <c r="F11" s="31"/>
      <c r="G11" s="31"/>
      <c r="H11" s="31"/>
      <c r="I11" s="31"/>
      <c r="J11" s="31">
        <f>SUM(J4:J10)</f>
        <v>3500</v>
      </c>
    </row>
  </sheetData>
  <mergeCells count="1">
    <mergeCell ref="A1:L1"/>
  </mergeCells>
  <hyperlinks>
    <hyperlink ref="A1" location="'Navigation'!A1" tooltip="Back" display="'Navigation'!A1" xr:uid="{A84C2805-B8E6-4591-9FB6-8483D8E5ED6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60C7-AED4-4DDD-8050-8478E9E6475E}">
  <sheetPr codeName="Sheet25"/>
  <dimension ref="A1:L11"/>
  <sheetViews>
    <sheetView workbookViewId="0"/>
  </sheetViews>
  <sheetFormatPr defaultRowHeight="14.4" x14ac:dyDescent="0.3"/>
  <cols>
    <col min="1" max="1" width="20.77734375" customWidth="1"/>
    <col min="2" max="6" width="12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363</v>
      </c>
      <c r="B3" s="48" t="s">
        <v>540</v>
      </c>
      <c r="C3" s="48" t="s">
        <v>580</v>
      </c>
      <c r="D3" s="48" t="s">
        <v>581</v>
      </c>
      <c r="E3" s="48" t="s">
        <v>582</v>
      </c>
      <c r="F3" s="48" t="s">
        <v>181</v>
      </c>
      <c r="G3" s="2"/>
      <c r="H3" s="2"/>
      <c r="I3" s="2"/>
      <c r="J3" s="2"/>
      <c r="K3" s="2"/>
      <c r="L3" s="2"/>
    </row>
    <row r="4" spans="1:12" ht="22.05" customHeight="1" x14ac:dyDescent="0.3">
      <c r="A4" s="59" t="s">
        <v>541</v>
      </c>
      <c r="B4" s="1">
        <v>350</v>
      </c>
      <c r="C4" s="1">
        <v>10</v>
      </c>
      <c r="D4" s="1">
        <v>60</v>
      </c>
      <c r="E4" s="1">
        <v>8</v>
      </c>
      <c r="F4" s="1" t="s">
        <v>155</v>
      </c>
    </row>
    <row r="5" spans="1:12" ht="22.05" customHeight="1" x14ac:dyDescent="0.3">
      <c r="A5" s="59" t="s">
        <v>159</v>
      </c>
      <c r="B5" s="1">
        <v>650</v>
      </c>
      <c r="C5" s="1">
        <v>25</v>
      </c>
      <c r="D5" s="1">
        <v>80</v>
      </c>
      <c r="E5" s="1">
        <v>20</v>
      </c>
      <c r="F5" s="1" t="s">
        <v>155</v>
      </c>
    </row>
    <row r="6" spans="1:12" ht="22.05" customHeight="1" x14ac:dyDescent="0.3">
      <c r="A6" s="59" t="s">
        <v>465</v>
      </c>
      <c r="B6" s="1">
        <v>400</v>
      </c>
      <c r="C6" s="1">
        <v>15</v>
      </c>
      <c r="D6" s="1">
        <v>45</v>
      </c>
      <c r="E6" s="1">
        <v>12</v>
      </c>
      <c r="F6" s="1" t="s">
        <v>155</v>
      </c>
    </row>
    <row r="7" spans="1:12" ht="22.05" customHeight="1" x14ac:dyDescent="0.3">
      <c r="A7" s="59" t="s">
        <v>466</v>
      </c>
      <c r="B7" s="1">
        <v>750</v>
      </c>
      <c r="C7" s="1">
        <v>35</v>
      </c>
      <c r="D7" s="1">
        <v>95</v>
      </c>
      <c r="E7" s="1">
        <v>22</v>
      </c>
      <c r="F7" s="1" t="s">
        <v>155</v>
      </c>
    </row>
    <row r="8" spans="1:12" ht="22.05" customHeight="1" x14ac:dyDescent="0.3">
      <c r="A8" s="59" t="s">
        <v>563</v>
      </c>
      <c r="B8" s="1">
        <v>450</v>
      </c>
      <c r="C8" s="1">
        <v>35</v>
      </c>
      <c r="D8" s="1">
        <v>50</v>
      </c>
      <c r="E8" s="1">
        <v>10</v>
      </c>
      <c r="F8" s="1" t="s">
        <v>155</v>
      </c>
    </row>
    <row r="9" spans="1:12" ht="22.05" customHeight="1" x14ac:dyDescent="0.3">
      <c r="A9" s="59" t="s">
        <v>170</v>
      </c>
      <c r="B9" s="1">
        <v>600</v>
      </c>
      <c r="C9" s="1">
        <v>30</v>
      </c>
      <c r="D9" s="1">
        <v>70</v>
      </c>
      <c r="E9" s="1">
        <v>20</v>
      </c>
      <c r="F9" s="1" t="s">
        <v>155</v>
      </c>
    </row>
    <row r="10" spans="1:12" ht="22.05" customHeight="1" x14ac:dyDescent="0.3">
      <c r="A10" s="59" t="s">
        <v>468</v>
      </c>
      <c r="B10" s="1">
        <v>300</v>
      </c>
      <c r="C10" s="1">
        <v>15</v>
      </c>
      <c r="D10" s="1">
        <v>30</v>
      </c>
      <c r="E10" s="1">
        <v>12</v>
      </c>
      <c r="F10" s="1" t="s">
        <v>155</v>
      </c>
    </row>
    <row r="11" spans="1:12" x14ac:dyDescent="0.3">
      <c r="A11" s="31" t="s">
        <v>583</v>
      </c>
      <c r="B11" s="31">
        <f>SUM(B4:B10)</f>
        <v>3500</v>
      </c>
      <c r="C11" s="31">
        <f>SUM(C4:C10)</f>
        <v>165</v>
      </c>
      <c r="D11" s="31">
        <f>SUM(D4:D10)</f>
        <v>430</v>
      </c>
      <c r="E11" s="31">
        <f>SUM(E4:E10)</f>
        <v>104</v>
      </c>
      <c r="F11" s="31" t="s">
        <v>511</v>
      </c>
    </row>
  </sheetData>
  <mergeCells count="1">
    <mergeCell ref="A1:L1"/>
  </mergeCells>
  <hyperlinks>
    <hyperlink ref="A1" location="'Navigation'!A1" tooltip="Back" display="'Navigation'!A1" xr:uid="{245DF2EF-6232-4532-B8A5-2034CB54D3B7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D72E-5094-42BB-9401-01ACCDC31DA7}">
  <sheetPr codeName="Sheet26"/>
  <dimension ref="A1:L15"/>
  <sheetViews>
    <sheetView workbookViewId="0"/>
  </sheetViews>
  <sheetFormatPr defaultRowHeight="14.4" x14ac:dyDescent="0.3"/>
  <cols>
    <col min="1" max="6" width="12.77734375" customWidth="1"/>
    <col min="7" max="7" width="25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584</v>
      </c>
      <c r="B3" s="48" t="s">
        <v>585</v>
      </c>
      <c r="C3" s="48" t="s">
        <v>586</v>
      </c>
      <c r="D3" s="48" t="s">
        <v>587</v>
      </c>
      <c r="E3" s="48" t="s">
        <v>588</v>
      </c>
      <c r="F3" s="48" t="s">
        <v>589</v>
      </c>
      <c r="G3" s="48" t="s">
        <v>150</v>
      </c>
      <c r="H3" s="2"/>
      <c r="I3" s="2"/>
      <c r="J3" s="2"/>
      <c r="K3" s="2"/>
      <c r="L3" s="2"/>
    </row>
    <row r="4" spans="1:12" ht="22.05" customHeight="1" x14ac:dyDescent="0.3">
      <c r="A4" s="38" t="s">
        <v>590</v>
      </c>
      <c r="B4" s="16"/>
      <c r="C4" s="16">
        <v>0</v>
      </c>
      <c r="D4" s="16" t="s">
        <v>591</v>
      </c>
      <c r="E4" s="16">
        <v>0</v>
      </c>
      <c r="F4" s="16">
        <v>0</v>
      </c>
      <c r="G4" s="16"/>
    </row>
    <row r="5" spans="1:12" ht="22.05" customHeight="1" x14ac:dyDescent="0.3">
      <c r="A5" s="38" t="s">
        <v>592</v>
      </c>
      <c r="B5" s="16"/>
      <c r="C5" s="16">
        <v>0</v>
      </c>
      <c r="D5" s="16">
        <f t="shared" ref="D5:D15" si="0">C5-C4</f>
        <v>0</v>
      </c>
      <c r="E5" s="16">
        <v>0</v>
      </c>
      <c r="F5" s="16">
        <v>0</v>
      </c>
      <c r="G5" s="16"/>
    </row>
    <row r="6" spans="1:12" ht="22.05" customHeight="1" x14ac:dyDescent="0.3">
      <c r="A6" s="38" t="s">
        <v>593</v>
      </c>
      <c r="B6" s="16"/>
      <c r="C6" s="16">
        <v>0</v>
      </c>
      <c r="D6" s="16">
        <f t="shared" si="0"/>
        <v>0</v>
      </c>
      <c r="E6" s="16">
        <v>0</v>
      </c>
      <c r="F6" s="16">
        <v>0</v>
      </c>
      <c r="G6" s="16"/>
    </row>
    <row r="7" spans="1:12" ht="22.05" customHeight="1" x14ac:dyDescent="0.3">
      <c r="A7" s="38" t="s">
        <v>594</v>
      </c>
      <c r="B7" s="16"/>
      <c r="C7" s="16">
        <v>0</v>
      </c>
      <c r="D7" s="16">
        <f t="shared" si="0"/>
        <v>0</v>
      </c>
      <c r="E7" s="16">
        <v>0</v>
      </c>
      <c r="F7" s="16">
        <v>0</v>
      </c>
      <c r="G7" s="16"/>
    </row>
    <row r="8" spans="1:12" ht="22.05" customHeight="1" x14ac:dyDescent="0.3">
      <c r="A8" s="38" t="s">
        <v>595</v>
      </c>
      <c r="B8" s="16"/>
      <c r="C8" s="16">
        <v>0</v>
      </c>
      <c r="D8" s="16">
        <f t="shared" si="0"/>
        <v>0</v>
      </c>
      <c r="E8" s="16">
        <v>0</v>
      </c>
      <c r="F8" s="16">
        <v>0</v>
      </c>
      <c r="G8" s="16"/>
    </row>
    <row r="9" spans="1:12" ht="22.05" customHeight="1" x14ac:dyDescent="0.3">
      <c r="A9" s="38" t="s">
        <v>596</v>
      </c>
      <c r="B9" s="16"/>
      <c r="C9" s="16">
        <v>0</v>
      </c>
      <c r="D9" s="16">
        <f t="shared" si="0"/>
        <v>0</v>
      </c>
      <c r="E9" s="16">
        <v>0</v>
      </c>
      <c r="F9" s="16">
        <v>0</v>
      </c>
      <c r="G9" s="16"/>
    </row>
    <row r="10" spans="1:12" ht="22.05" customHeight="1" x14ac:dyDescent="0.3">
      <c r="A10" s="38" t="s">
        <v>597</v>
      </c>
      <c r="B10" s="16"/>
      <c r="C10" s="16">
        <v>0</v>
      </c>
      <c r="D10" s="16">
        <f t="shared" si="0"/>
        <v>0</v>
      </c>
      <c r="E10" s="16">
        <v>0</v>
      </c>
      <c r="F10" s="16">
        <v>0</v>
      </c>
      <c r="G10" s="16"/>
    </row>
    <row r="11" spans="1:12" ht="22.05" customHeight="1" x14ac:dyDescent="0.3">
      <c r="A11" s="38" t="s">
        <v>598</v>
      </c>
      <c r="B11" s="16"/>
      <c r="C11" s="16">
        <v>0</v>
      </c>
      <c r="D11" s="16">
        <f t="shared" si="0"/>
        <v>0</v>
      </c>
      <c r="E11" s="16">
        <v>0</v>
      </c>
      <c r="F11" s="16">
        <v>0</v>
      </c>
      <c r="G11" s="16"/>
    </row>
    <row r="12" spans="1:12" ht="22.05" customHeight="1" x14ac:dyDescent="0.3">
      <c r="A12" s="38" t="s">
        <v>599</v>
      </c>
      <c r="B12" s="16"/>
      <c r="C12" s="16">
        <v>0</v>
      </c>
      <c r="D12" s="16">
        <f t="shared" si="0"/>
        <v>0</v>
      </c>
      <c r="E12" s="16">
        <v>0</v>
      </c>
      <c r="F12" s="16">
        <v>0</v>
      </c>
      <c r="G12" s="16"/>
    </row>
    <row r="13" spans="1:12" ht="22.05" customHeight="1" x14ac:dyDescent="0.3">
      <c r="A13" s="38" t="s">
        <v>600</v>
      </c>
      <c r="B13" s="16"/>
      <c r="C13" s="16">
        <v>0</v>
      </c>
      <c r="D13" s="16">
        <f t="shared" si="0"/>
        <v>0</v>
      </c>
      <c r="E13" s="16">
        <v>0</v>
      </c>
      <c r="F13" s="16">
        <v>0</v>
      </c>
      <c r="G13" s="16"/>
    </row>
    <row r="14" spans="1:12" ht="22.05" customHeight="1" x14ac:dyDescent="0.3">
      <c r="A14" s="38" t="s">
        <v>601</v>
      </c>
      <c r="B14" s="16"/>
      <c r="C14" s="16">
        <v>0</v>
      </c>
      <c r="D14" s="16">
        <f t="shared" si="0"/>
        <v>0</v>
      </c>
      <c r="E14" s="16">
        <v>0</v>
      </c>
      <c r="F14" s="16">
        <v>0</v>
      </c>
      <c r="G14" s="16"/>
    </row>
    <row r="15" spans="1:12" ht="22.05" customHeight="1" x14ac:dyDescent="0.3">
      <c r="A15" s="38" t="s">
        <v>602</v>
      </c>
      <c r="B15" s="16"/>
      <c r="C15" s="16">
        <v>0</v>
      </c>
      <c r="D15" s="16">
        <f t="shared" si="0"/>
        <v>0</v>
      </c>
      <c r="E15" s="16">
        <v>0</v>
      </c>
      <c r="F15" s="16">
        <v>0</v>
      </c>
      <c r="G15" s="16"/>
    </row>
  </sheetData>
  <mergeCells count="1">
    <mergeCell ref="A1:L1"/>
  </mergeCells>
  <hyperlinks>
    <hyperlink ref="A1" location="'Navigation'!A1" tooltip="Back" display="'Navigation'!A1" xr:uid="{3A692FDD-1E04-4B56-B933-26E2A89E4CF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CAC5-BF35-4AFB-B94B-75FCFE598ED3}">
  <sheetPr codeName="Sheet27"/>
  <dimension ref="A1:L11"/>
  <sheetViews>
    <sheetView workbookViewId="0"/>
  </sheetViews>
  <sheetFormatPr defaultRowHeight="14.4" x14ac:dyDescent="0.3"/>
  <cols>
    <col min="1" max="1" width="18.77734375" customWidth="1"/>
    <col min="2" max="2" width="10.77734375" customWidth="1"/>
    <col min="3" max="3" width="15.77734375" customWidth="1"/>
    <col min="4" max="4" width="20.77734375" customWidth="1"/>
    <col min="5" max="11" width="6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603</v>
      </c>
      <c r="B3" s="48" t="s">
        <v>604</v>
      </c>
      <c r="C3" s="48" t="s">
        <v>142</v>
      </c>
      <c r="D3" s="48" t="s">
        <v>605</v>
      </c>
      <c r="E3" s="48" t="s">
        <v>143</v>
      </c>
      <c r="F3" s="48" t="s">
        <v>144</v>
      </c>
      <c r="G3" s="48" t="s">
        <v>145</v>
      </c>
      <c r="H3" s="48" t="s">
        <v>146</v>
      </c>
      <c r="I3" s="48" t="s">
        <v>147</v>
      </c>
      <c r="J3" s="48" t="s">
        <v>148</v>
      </c>
      <c r="K3" s="48" t="s">
        <v>149</v>
      </c>
      <c r="L3" s="2"/>
    </row>
    <row r="4" spans="1:12" ht="22.05" customHeight="1" x14ac:dyDescent="0.3">
      <c r="A4" s="38" t="s">
        <v>606</v>
      </c>
      <c r="B4" s="16" t="s">
        <v>607</v>
      </c>
      <c r="C4" s="16" t="s">
        <v>608</v>
      </c>
      <c r="D4" s="16" t="s">
        <v>609</v>
      </c>
      <c r="E4" s="16" t="s">
        <v>155</v>
      </c>
      <c r="F4" s="16" t="s">
        <v>155</v>
      </c>
      <c r="G4" s="16" t="s">
        <v>155</v>
      </c>
      <c r="H4" s="16" t="s">
        <v>155</v>
      </c>
      <c r="I4" s="16" t="s">
        <v>155</v>
      </c>
      <c r="J4" s="16" t="s">
        <v>155</v>
      </c>
      <c r="K4" s="16" t="s">
        <v>155</v>
      </c>
    </row>
    <row r="5" spans="1:12" ht="22.05" customHeight="1" x14ac:dyDescent="0.3">
      <c r="A5" s="38" t="s">
        <v>610</v>
      </c>
      <c r="B5" s="16" t="s">
        <v>611</v>
      </c>
      <c r="C5" s="16" t="s">
        <v>612</v>
      </c>
      <c r="D5" s="16" t="s">
        <v>613</v>
      </c>
      <c r="E5" s="16" t="s">
        <v>155</v>
      </c>
      <c r="F5" s="16" t="s">
        <v>155</v>
      </c>
      <c r="G5" s="16" t="s">
        <v>155</v>
      </c>
      <c r="H5" s="16" t="s">
        <v>155</v>
      </c>
      <c r="I5" s="16" t="s">
        <v>155</v>
      </c>
      <c r="J5" s="16" t="s">
        <v>155</v>
      </c>
      <c r="K5" s="16" t="s">
        <v>155</v>
      </c>
    </row>
    <row r="6" spans="1:12" ht="22.05" customHeight="1" x14ac:dyDescent="0.3">
      <c r="A6" s="38" t="s">
        <v>614</v>
      </c>
      <c r="B6" s="16" t="s">
        <v>615</v>
      </c>
      <c r="C6" s="16" t="s">
        <v>616</v>
      </c>
      <c r="D6" s="16" t="s">
        <v>617</v>
      </c>
      <c r="E6" s="16" t="s">
        <v>155</v>
      </c>
      <c r="F6" s="16" t="s">
        <v>155</v>
      </c>
      <c r="G6" s="16" t="s">
        <v>155</v>
      </c>
      <c r="H6" s="16" t="s">
        <v>155</v>
      </c>
      <c r="I6" s="16" t="s">
        <v>155</v>
      </c>
      <c r="J6" s="16" t="s">
        <v>155</v>
      </c>
      <c r="K6" s="16" t="s">
        <v>155</v>
      </c>
    </row>
    <row r="7" spans="1:12" ht="22.05" customHeight="1" x14ac:dyDescent="0.3">
      <c r="A7" s="38" t="s">
        <v>618</v>
      </c>
      <c r="B7" s="16" t="s">
        <v>619</v>
      </c>
      <c r="C7" s="16" t="s">
        <v>620</v>
      </c>
      <c r="D7" s="16" t="s">
        <v>621</v>
      </c>
      <c r="E7" s="16" t="s">
        <v>155</v>
      </c>
      <c r="F7" s="16" t="s">
        <v>155</v>
      </c>
      <c r="G7" s="16" t="s">
        <v>155</v>
      </c>
      <c r="H7" s="16" t="s">
        <v>155</v>
      </c>
      <c r="I7" s="16" t="s">
        <v>155</v>
      </c>
      <c r="J7" s="16" t="s">
        <v>155</v>
      </c>
      <c r="K7" s="16" t="s">
        <v>155</v>
      </c>
    </row>
    <row r="8" spans="1:12" ht="22.05" customHeight="1" x14ac:dyDescent="0.3">
      <c r="A8" s="38" t="s">
        <v>622</v>
      </c>
      <c r="B8" s="16" t="s">
        <v>623</v>
      </c>
      <c r="C8" s="16" t="s">
        <v>624</v>
      </c>
      <c r="D8" s="16" t="s">
        <v>625</v>
      </c>
      <c r="E8" s="16" t="s">
        <v>155</v>
      </c>
      <c r="F8" s="16" t="s">
        <v>155</v>
      </c>
      <c r="G8" s="16" t="s">
        <v>155</v>
      </c>
      <c r="H8" s="16" t="s">
        <v>155</v>
      </c>
      <c r="I8" s="16" t="s">
        <v>155</v>
      </c>
      <c r="J8" s="16" t="s">
        <v>155</v>
      </c>
      <c r="K8" s="16" t="s">
        <v>155</v>
      </c>
    </row>
    <row r="9" spans="1:12" ht="22.05" customHeight="1" x14ac:dyDescent="0.3">
      <c r="A9" s="38" t="s">
        <v>626</v>
      </c>
      <c r="B9" s="16" t="s">
        <v>607</v>
      </c>
      <c r="C9" s="16" t="s">
        <v>627</v>
      </c>
      <c r="D9" s="16" t="s">
        <v>628</v>
      </c>
      <c r="E9" s="16" t="s">
        <v>155</v>
      </c>
      <c r="F9" s="16" t="s">
        <v>155</v>
      </c>
      <c r="G9" s="16" t="s">
        <v>155</v>
      </c>
      <c r="H9" s="16" t="s">
        <v>155</v>
      </c>
      <c r="I9" s="16" t="s">
        <v>155</v>
      </c>
      <c r="J9" s="16" t="s">
        <v>155</v>
      </c>
      <c r="K9" s="16" t="s">
        <v>155</v>
      </c>
    </row>
    <row r="10" spans="1:12" ht="22.05" customHeight="1" x14ac:dyDescent="0.3">
      <c r="A10" s="38" t="s">
        <v>629</v>
      </c>
      <c r="B10" s="16" t="s">
        <v>615</v>
      </c>
      <c r="C10" s="16" t="s">
        <v>616</v>
      </c>
      <c r="D10" s="16" t="s">
        <v>630</v>
      </c>
      <c r="E10" s="16" t="s">
        <v>155</v>
      </c>
      <c r="F10" s="16" t="s">
        <v>155</v>
      </c>
      <c r="G10" s="16" t="s">
        <v>155</v>
      </c>
      <c r="H10" s="16" t="s">
        <v>155</v>
      </c>
      <c r="I10" s="16" t="s">
        <v>155</v>
      </c>
      <c r="J10" s="16" t="s">
        <v>155</v>
      </c>
      <c r="K10" s="16" t="s">
        <v>155</v>
      </c>
    </row>
    <row r="11" spans="1:12" ht="22.05" customHeight="1" x14ac:dyDescent="0.3">
      <c r="A11" s="38" t="s">
        <v>631</v>
      </c>
      <c r="B11" s="16" t="s">
        <v>615</v>
      </c>
      <c r="C11" s="16" t="s">
        <v>620</v>
      </c>
      <c r="D11" s="16" t="s">
        <v>632</v>
      </c>
      <c r="E11" s="16" t="s">
        <v>155</v>
      </c>
      <c r="F11" s="16" t="s">
        <v>155</v>
      </c>
      <c r="G11" s="16" t="s">
        <v>155</v>
      </c>
      <c r="H11" s="16" t="s">
        <v>155</v>
      </c>
      <c r="I11" s="16" t="s">
        <v>155</v>
      </c>
      <c r="J11" s="16" t="s">
        <v>155</v>
      </c>
      <c r="K11" s="16" t="s">
        <v>155</v>
      </c>
    </row>
  </sheetData>
  <mergeCells count="1">
    <mergeCell ref="A1:L1"/>
  </mergeCells>
  <hyperlinks>
    <hyperlink ref="A1" location="'Navigation'!A1" tooltip="Back" display="'Navigation'!A1" xr:uid="{D5E6B843-1193-4A83-9E95-D19A1B098E6D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05F4-ADF3-4091-982B-D009CA11F74A}">
  <sheetPr codeName="Sheet28"/>
  <dimension ref="A1:L10"/>
  <sheetViews>
    <sheetView workbookViewId="0"/>
  </sheetViews>
  <sheetFormatPr defaultRowHeight="14.4" x14ac:dyDescent="0.3"/>
  <cols>
    <col min="1" max="1" width="12.77734375" customWidth="1"/>
    <col min="2" max="2" width="22.77734375" customWidth="1"/>
    <col min="3" max="3" width="15.77734375" customWidth="1"/>
    <col min="4" max="5" width="18.77734375" customWidth="1"/>
    <col min="6" max="6" width="12.77734375" customWidth="1"/>
  </cols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47" t="s">
        <v>469</v>
      </c>
      <c r="B3" s="48" t="s">
        <v>633</v>
      </c>
      <c r="C3" s="48" t="s">
        <v>142</v>
      </c>
      <c r="D3" s="48" t="s">
        <v>634</v>
      </c>
      <c r="E3" s="48" t="s">
        <v>635</v>
      </c>
      <c r="F3" s="48" t="s">
        <v>275</v>
      </c>
      <c r="G3" s="2"/>
      <c r="H3" s="2"/>
      <c r="I3" s="2"/>
      <c r="J3" s="2"/>
      <c r="K3" s="2"/>
      <c r="L3" s="2"/>
    </row>
    <row r="4" spans="1:12" ht="24" customHeight="1" x14ac:dyDescent="0.3">
      <c r="A4" s="38" t="s">
        <v>479</v>
      </c>
      <c r="B4" s="16" t="s">
        <v>636</v>
      </c>
      <c r="C4" s="16" t="s">
        <v>637</v>
      </c>
      <c r="D4" s="16" t="s">
        <v>542</v>
      </c>
      <c r="E4" s="16" t="s">
        <v>638</v>
      </c>
      <c r="F4" s="16" t="s">
        <v>639</v>
      </c>
    </row>
    <row r="5" spans="1:12" ht="24" customHeight="1" x14ac:dyDescent="0.3">
      <c r="A5" s="38" t="s">
        <v>485</v>
      </c>
      <c r="B5" s="16" t="s">
        <v>640</v>
      </c>
      <c r="C5" s="16" t="s">
        <v>637</v>
      </c>
      <c r="D5" s="16" t="s">
        <v>545</v>
      </c>
      <c r="E5" s="16" t="s">
        <v>565</v>
      </c>
      <c r="F5" s="16" t="s">
        <v>641</v>
      </c>
    </row>
    <row r="6" spans="1:12" ht="24" customHeight="1" x14ac:dyDescent="0.3">
      <c r="A6" s="38" t="s">
        <v>489</v>
      </c>
      <c r="B6" s="16" t="s">
        <v>642</v>
      </c>
      <c r="C6" s="16" t="s">
        <v>637</v>
      </c>
      <c r="D6" s="16" t="s">
        <v>544</v>
      </c>
      <c r="E6" s="16" t="s">
        <v>568</v>
      </c>
      <c r="F6" s="16" t="s">
        <v>643</v>
      </c>
    </row>
    <row r="7" spans="1:12" ht="24" customHeight="1" x14ac:dyDescent="0.3">
      <c r="A7" s="38" t="s">
        <v>492</v>
      </c>
      <c r="B7" s="16" t="s">
        <v>644</v>
      </c>
      <c r="C7" s="16" t="s">
        <v>637</v>
      </c>
      <c r="D7" s="16" t="s">
        <v>542</v>
      </c>
      <c r="E7" s="16" t="s">
        <v>638</v>
      </c>
      <c r="F7" s="16" t="s">
        <v>639</v>
      </c>
    </row>
    <row r="8" spans="1:12" ht="24" customHeight="1" x14ac:dyDescent="0.3">
      <c r="A8" s="38" t="s">
        <v>496</v>
      </c>
      <c r="B8" s="16" t="s">
        <v>645</v>
      </c>
      <c r="C8" s="16" t="s">
        <v>637</v>
      </c>
      <c r="D8" s="16" t="s">
        <v>646</v>
      </c>
      <c r="E8" s="16" t="s">
        <v>569</v>
      </c>
      <c r="F8" s="16" t="s">
        <v>647</v>
      </c>
    </row>
    <row r="9" spans="1:12" ht="24" customHeight="1" x14ac:dyDescent="0.3">
      <c r="A9" s="38" t="s">
        <v>498</v>
      </c>
      <c r="B9" s="16" t="s">
        <v>648</v>
      </c>
      <c r="C9" s="16" t="s">
        <v>649</v>
      </c>
      <c r="D9" s="16" t="s">
        <v>543</v>
      </c>
      <c r="E9" s="16" t="s">
        <v>567</v>
      </c>
      <c r="F9" s="16" t="s">
        <v>647</v>
      </c>
    </row>
    <row r="10" spans="1:12" ht="24" customHeight="1" x14ac:dyDescent="0.3">
      <c r="A10" s="38" t="s">
        <v>472</v>
      </c>
      <c r="B10" s="16" t="s">
        <v>650</v>
      </c>
      <c r="C10" s="16" t="s">
        <v>283</v>
      </c>
      <c r="D10" s="16" t="s">
        <v>651</v>
      </c>
      <c r="E10" s="16" t="s">
        <v>651</v>
      </c>
      <c r="F10" s="16" t="s">
        <v>292</v>
      </c>
    </row>
  </sheetData>
  <mergeCells count="1">
    <mergeCell ref="A1:L1"/>
  </mergeCells>
  <hyperlinks>
    <hyperlink ref="A1" location="'Navigation'!A1" tooltip="Back" display="'Navigation'!A1" xr:uid="{2EAE05C6-D344-4242-9B45-01C2BF85C50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1F36-A5F2-4F75-9614-3DCBFB708B01}">
  <sheetPr codeName="Sheet29"/>
  <dimension ref="A1:O5"/>
  <sheetViews>
    <sheetView workbookViewId="0"/>
  </sheetViews>
  <sheetFormatPr defaultRowHeight="14.4" x14ac:dyDescent="0.3"/>
  <cols>
    <col min="1" max="1" width="15.77734375" customWidth="1"/>
    <col min="2" max="15" width="12.77734375" customWidth="1"/>
  </cols>
  <sheetData>
    <row r="1" spans="1:15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5" ht="30" customHeight="1" x14ac:dyDescent="0.3">
      <c r="A3" s="156" t="s">
        <v>652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</row>
    <row r="4" spans="1:15" x14ac:dyDescent="0.3">
      <c r="A4" s="60" t="s">
        <v>653</v>
      </c>
      <c r="B4" s="60"/>
      <c r="C4" s="60" t="s">
        <v>654</v>
      </c>
      <c r="D4" s="60"/>
      <c r="E4" s="60" t="s">
        <v>655</v>
      </c>
      <c r="F4" s="60"/>
      <c r="G4" s="60" t="s">
        <v>656</v>
      </c>
      <c r="H4" s="60"/>
      <c r="I4" s="60" t="s">
        <v>657</v>
      </c>
      <c r="J4" s="60"/>
      <c r="K4" s="60" t="s">
        <v>658</v>
      </c>
      <c r="L4" s="60"/>
      <c r="M4" s="60" t="s">
        <v>659</v>
      </c>
      <c r="N4" s="60"/>
      <c r="O4" s="60" t="s">
        <v>660</v>
      </c>
    </row>
    <row r="5" spans="1:15" ht="18" x14ac:dyDescent="0.35">
      <c r="A5" s="61">
        <f>COUNTIF(Skills_Tracker!G3:G75,"Done")</f>
        <v>0</v>
      </c>
      <c r="B5" s="61"/>
      <c r="C5" s="61">
        <f>COUNTIF(Skills_Tracker!G3:G75,"In Progress")</f>
        <v>0</v>
      </c>
      <c r="D5" s="61"/>
      <c r="E5" s="62">
        <f>IFERROR(AVERAGE(Skills_Tracker!F3:F10),0)</f>
        <v>0</v>
      </c>
      <c r="F5" s="61"/>
      <c r="G5" s="62">
        <f>IFERROR(AVERAGE(Skills_Tracker!F11:F20),0)</f>
        <v>0</v>
      </c>
      <c r="H5" s="61"/>
      <c r="I5" s="62">
        <f>IFERROR(AVERAGE(Skills_Tracker!F21:F28),0)</f>
        <v>0</v>
      </c>
      <c r="J5" s="61"/>
      <c r="K5" s="62">
        <f>IFERROR(AVERAGE(Skills_Tracker!F34:F39),0)</f>
        <v>0</v>
      </c>
      <c r="L5" s="61"/>
      <c r="M5" s="62">
        <f>IFERROR(AVERAGE(Skills_Tracker!F56:F63),0)</f>
        <v>0</v>
      </c>
      <c r="N5" s="61"/>
      <c r="O5" s="61" t="str">
        <f>IF(E5&gt;=0.9,"S+",IF(E5&gt;=0.8,"A+",IF(E5&gt;=0.7,"A","B")))</f>
        <v>B</v>
      </c>
    </row>
  </sheetData>
  <mergeCells count="2">
    <mergeCell ref="A1:L1"/>
    <mergeCell ref="A3:O3"/>
  </mergeCells>
  <hyperlinks>
    <hyperlink ref="A1" location="'Navigation'!A1" tooltip="Back" display="'Navigation'!A1" xr:uid="{2D5F9A04-AD9D-40C0-9647-64D48AA2EFA3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F4C6-CFE8-44D8-BDFE-06814E517080}">
  <sheetPr codeName="Sheet30"/>
  <dimension ref="A1:L75"/>
  <sheetViews>
    <sheetView workbookViewId="0"/>
  </sheetViews>
  <sheetFormatPr defaultRowHeight="14.4" x14ac:dyDescent="0.3"/>
  <cols>
    <col min="1" max="1" width="6.77734375" customWidth="1"/>
    <col min="2" max="2" width="22.77734375" customWidth="1"/>
    <col min="3" max="3" width="28.77734375" customWidth="1"/>
    <col min="4" max="4" width="12.77734375" customWidth="1"/>
    <col min="5" max="6" width="10.77734375" customWidth="1"/>
    <col min="7" max="7" width="15.77734375" customWidth="1"/>
    <col min="8" max="8" width="25.77734375" customWidth="1"/>
  </cols>
  <sheetData>
    <row r="1" spans="1:12" ht="31.95" customHeight="1" x14ac:dyDescent="0.3">
      <c r="A1" s="157" t="s">
        <v>1154</v>
      </c>
      <c r="B1" s="143"/>
      <c r="C1" s="143"/>
      <c r="D1" s="143"/>
      <c r="E1" s="143"/>
      <c r="F1" s="143"/>
      <c r="G1" s="143"/>
      <c r="H1" s="143"/>
      <c r="I1" s="2"/>
      <c r="J1" s="2"/>
      <c r="K1" s="2"/>
      <c r="L1" s="2"/>
    </row>
    <row r="2" spans="1:12" ht="25.95" customHeight="1" x14ac:dyDescent="0.3">
      <c r="A2" s="57" t="s">
        <v>661</v>
      </c>
      <c r="B2" s="57" t="s">
        <v>662</v>
      </c>
      <c r="C2" s="57" t="s">
        <v>663</v>
      </c>
      <c r="D2" s="57" t="s">
        <v>664</v>
      </c>
      <c r="E2" s="57" t="s">
        <v>665</v>
      </c>
      <c r="F2" s="57" t="s">
        <v>666</v>
      </c>
      <c r="G2" s="57" t="s">
        <v>667</v>
      </c>
      <c r="H2" s="57" t="s">
        <v>39</v>
      </c>
    </row>
    <row r="3" spans="1:12" ht="19.95" customHeight="1" x14ac:dyDescent="0.3">
      <c r="A3" s="63">
        <v>1</v>
      </c>
      <c r="B3" s="94" t="s">
        <v>668</v>
      </c>
      <c r="C3" s="95" t="s">
        <v>669</v>
      </c>
      <c r="D3" s="94" t="s">
        <v>670</v>
      </c>
      <c r="E3" s="94">
        <v>10</v>
      </c>
      <c r="F3" s="94">
        <v>0</v>
      </c>
      <c r="G3" s="94" t="str">
        <f t="shared" ref="G3:G34" si="0">IF(F3&gt;=9,"Done",IF(F3&gt;0,"In Progress","Not Started"))</f>
        <v>Not Started</v>
      </c>
      <c r="H3" s="94"/>
      <c r="I3" s="2"/>
      <c r="J3" s="2"/>
      <c r="K3" s="2"/>
      <c r="L3" s="2"/>
    </row>
    <row r="4" spans="1:12" ht="19.95" customHeight="1" x14ac:dyDescent="0.3">
      <c r="A4" s="16">
        <v>2</v>
      </c>
      <c r="B4" s="16" t="s">
        <v>668</v>
      </c>
      <c r="C4" s="38" t="s">
        <v>671</v>
      </c>
      <c r="D4" s="16" t="s">
        <v>670</v>
      </c>
      <c r="E4" s="16">
        <v>10</v>
      </c>
      <c r="F4" s="16">
        <v>0</v>
      </c>
      <c r="G4" s="16" t="str">
        <f t="shared" si="0"/>
        <v>Not Started</v>
      </c>
      <c r="H4" s="16"/>
    </row>
    <row r="5" spans="1:12" ht="19.95" customHeight="1" x14ac:dyDescent="0.3">
      <c r="A5" s="16">
        <v>3</v>
      </c>
      <c r="B5" s="16" t="s">
        <v>668</v>
      </c>
      <c r="C5" s="38" t="s">
        <v>672</v>
      </c>
      <c r="D5" s="16" t="s">
        <v>673</v>
      </c>
      <c r="E5" s="16">
        <v>10</v>
      </c>
      <c r="F5" s="16">
        <v>0</v>
      </c>
      <c r="G5" s="16" t="str">
        <f t="shared" si="0"/>
        <v>Not Started</v>
      </c>
      <c r="H5" s="16"/>
    </row>
    <row r="6" spans="1:12" ht="19.95" customHeight="1" x14ac:dyDescent="0.3">
      <c r="A6" s="16">
        <v>4</v>
      </c>
      <c r="B6" s="16" t="s">
        <v>668</v>
      </c>
      <c r="C6" s="38" t="s">
        <v>674</v>
      </c>
      <c r="D6" s="16" t="s">
        <v>673</v>
      </c>
      <c r="E6" s="16">
        <v>10</v>
      </c>
      <c r="F6" s="16">
        <v>0</v>
      </c>
      <c r="G6" s="16" t="str">
        <f t="shared" si="0"/>
        <v>Not Started</v>
      </c>
      <c r="H6" s="16"/>
    </row>
    <row r="7" spans="1:12" ht="19.95" customHeight="1" x14ac:dyDescent="0.3">
      <c r="A7" s="16">
        <v>5</v>
      </c>
      <c r="B7" s="16" t="s">
        <v>668</v>
      </c>
      <c r="C7" s="38" t="s">
        <v>675</v>
      </c>
      <c r="D7" s="16" t="s">
        <v>670</v>
      </c>
      <c r="E7" s="16">
        <v>10</v>
      </c>
      <c r="F7" s="16">
        <v>0</v>
      </c>
      <c r="G7" s="16" t="str">
        <f t="shared" si="0"/>
        <v>Not Started</v>
      </c>
      <c r="H7" s="16"/>
    </row>
    <row r="8" spans="1:12" ht="19.95" customHeight="1" x14ac:dyDescent="0.3">
      <c r="A8" s="16">
        <v>6</v>
      </c>
      <c r="B8" s="16" t="s">
        <v>668</v>
      </c>
      <c r="C8" s="38" t="s">
        <v>676</v>
      </c>
      <c r="D8" s="16" t="s">
        <v>673</v>
      </c>
      <c r="E8" s="16">
        <v>10</v>
      </c>
      <c r="F8" s="16">
        <v>0</v>
      </c>
      <c r="G8" s="16" t="str">
        <f t="shared" si="0"/>
        <v>Not Started</v>
      </c>
      <c r="H8" s="16"/>
    </row>
    <row r="9" spans="1:12" ht="19.95" customHeight="1" x14ac:dyDescent="0.3">
      <c r="A9" s="16">
        <v>7</v>
      </c>
      <c r="B9" s="16" t="s">
        <v>668</v>
      </c>
      <c r="C9" s="38" t="s">
        <v>677</v>
      </c>
      <c r="D9" s="16" t="s">
        <v>670</v>
      </c>
      <c r="E9" s="16">
        <v>10</v>
      </c>
      <c r="F9" s="16">
        <v>0</v>
      </c>
      <c r="G9" s="16" t="str">
        <f t="shared" si="0"/>
        <v>Not Started</v>
      </c>
      <c r="H9" s="16"/>
    </row>
    <row r="10" spans="1:12" ht="19.95" customHeight="1" x14ac:dyDescent="0.3">
      <c r="A10" s="16">
        <v>8</v>
      </c>
      <c r="B10" s="16" t="s">
        <v>668</v>
      </c>
      <c r="C10" s="38" t="s">
        <v>678</v>
      </c>
      <c r="D10" s="16" t="s">
        <v>673</v>
      </c>
      <c r="E10" s="16">
        <v>10</v>
      </c>
      <c r="F10" s="16">
        <v>0</v>
      </c>
      <c r="G10" s="16" t="str">
        <f t="shared" si="0"/>
        <v>Not Started</v>
      </c>
      <c r="H10" s="16"/>
    </row>
    <row r="11" spans="1:12" ht="19.95" customHeight="1" x14ac:dyDescent="0.3">
      <c r="A11" s="16">
        <v>9</v>
      </c>
      <c r="B11" s="16" t="s">
        <v>679</v>
      </c>
      <c r="C11" s="38" t="s">
        <v>680</v>
      </c>
      <c r="D11" s="16" t="s">
        <v>670</v>
      </c>
      <c r="E11" s="16">
        <v>10</v>
      </c>
      <c r="F11" s="16">
        <v>0</v>
      </c>
      <c r="G11" s="16" t="str">
        <f t="shared" si="0"/>
        <v>Not Started</v>
      </c>
      <c r="H11" s="16"/>
    </row>
    <row r="12" spans="1:12" ht="19.95" customHeight="1" x14ac:dyDescent="0.3">
      <c r="A12" s="16">
        <v>10</v>
      </c>
      <c r="B12" s="16" t="s">
        <v>679</v>
      </c>
      <c r="C12" s="38" t="s">
        <v>681</v>
      </c>
      <c r="D12" s="16" t="s">
        <v>670</v>
      </c>
      <c r="E12" s="16">
        <v>10</v>
      </c>
      <c r="F12" s="16">
        <v>0</v>
      </c>
      <c r="G12" s="16" t="str">
        <f t="shared" si="0"/>
        <v>Not Started</v>
      </c>
      <c r="H12" s="16"/>
    </row>
    <row r="13" spans="1:12" ht="19.95" customHeight="1" x14ac:dyDescent="0.3">
      <c r="A13" s="16">
        <v>11</v>
      </c>
      <c r="B13" s="16" t="s">
        <v>679</v>
      </c>
      <c r="C13" s="38" t="s">
        <v>682</v>
      </c>
      <c r="D13" s="16" t="s">
        <v>670</v>
      </c>
      <c r="E13" s="16">
        <v>10</v>
      </c>
      <c r="F13" s="16">
        <v>0</v>
      </c>
      <c r="G13" s="16" t="str">
        <f t="shared" si="0"/>
        <v>Not Started</v>
      </c>
      <c r="H13" s="16"/>
    </row>
    <row r="14" spans="1:12" ht="19.95" customHeight="1" x14ac:dyDescent="0.3">
      <c r="A14" s="16">
        <v>12</v>
      </c>
      <c r="B14" s="16" t="s">
        <v>679</v>
      </c>
      <c r="C14" s="38" t="s">
        <v>683</v>
      </c>
      <c r="D14" s="16" t="s">
        <v>670</v>
      </c>
      <c r="E14" s="16">
        <v>10</v>
      </c>
      <c r="F14" s="16">
        <v>0</v>
      </c>
      <c r="G14" s="16" t="str">
        <f t="shared" si="0"/>
        <v>Not Started</v>
      </c>
      <c r="H14" s="16"/>
    </row>
    <row r="15" spans="1:12" ht="19.95" customHeight="1" x14ac:dyDescent="0.3">
      <c r="A15" s="16">
        <v>13</v>
      </c>
      <c r="B15" s="16" t="s">
        <v>679</v>
      </c>
      <c r="C15" s="38" t="s">
        <v>684</v>
      </c>
      <c r="D15" s="16" t="s">
        <v>670</v>
      </c>
      <c r="E15" s="16">
        <v>10</v>
      </c>
      <c r="F15" s="16">
        <v>0</v>
      </c>
      <c r="G15" s="16" t="str">
        <f t="shared" si="0"/>
        <v>Not Started</v>
      </c>
      <c r="H15" s="16"/>
    </row>
    <row r="16" spans="1:12" ht="19.95" customHeight="1" x14ac:dyDescent="0.3">
      <c r="A16" s="16">
        <v>14</v>
      </c>
      <c r="B16" s="16" t="s">
        <v>679</v>
      </c>
      <c r="C16" s="38" t="s">
        <v>685</v>
      </c>
      <c r="D16" s="16" t="s">
        <v>670</v>
      </c>
      <c r="E16" s="16">
        <v>10</v>
      </c>
      <c r="F16" s="16">
        <v>0</v>
      </c>
      <c r="G16" s="16" t="str">
        <f t="shared" si="0"/>
        <v>Not Started</v>
      </c>
      <c r="H16" s="16"/>
    </row>
    <row r="17" spans="1:8" ht="19.95" customHeight="1" x14ac:dyDescent="0.3">
      <c r="A17" s="16">
        <v>15</v>
      </c>
      <c r="B17" s="16" t="s">
        <v>679</v>
      </c>
      <c r="C17" s="38" t="s">
        <v>686</v>
      </c>
      <c r="D17" s="16" t="s">
        <v>670</v>
      </c>
      <c r="E17" s="16">
        <v>10</v>
      </c>
      <c r="F17" s="16">
        <v>0</v>
      </c>
      <c r="G17" s="16" t="str">
        <f t="shared" si="0"/>
        <v>Not Started</v>
      </c>
      <c r="H17" s="16"/>
    </row>
    <row r="18" spans="1:8" ht="19.95" customHeight="1" x14ac:dyDescent="0.3">
      <c r="A18" s="16">
        <v>16</v>
      </c>
      <c r="B18" s="16" t="s">
        <v>679</v>
      </c>
      <c r="C18" s="38" t="s">
        <v>687</v>
      </c>
      <c r="D18" s="16" t="s">
        <v>673</v>
      </c>
      <c r="E18" s="16">
        <v>10</v>
      </c>
      <c r="F18" s="16">
        <v>0</v>
      </c>
      <c r="G18" s="16" t="str">
        <f t="shared" si="0"/>
        <v>Not Started</v>
      </c>
      <c r="H18" s="16"/>
    </row>
    <row r="19" spans="1:8" ht="19.95" customHeight="1" x14ac:dyDescent="0.3">
      <c r="A19" s="16">
        <v>17</v>
      </c>
      <c r="B19" s="16" t="s">
        <v>679</v>
      </c>
      <c r="C19" s="38" t="s">
        <v>688</v>
      </c>
      <c r="D19" s="16" t="s">
        <v>673</v>
      </c>
      <c r="E19" s="16">
        <v>10</v>
      </c>
      <c r="F19" s="16">
        <v>0</v>
      </c>
      <c r="G19" s="16" t="str">
        <f t="shared" si="0"/>
        <v>Not Started</v>
      </c>
      <c r="H19" s="16"/>
    </row>
    <row r="20" spans="1:8" ht="19.95" customHeight="1" x14ac:dyDescent="0.3">
      <c r="A20" s="16">
        <v>18</v>
      </c>
      <c r="B20" s="16" t="s">
        <v>679</v>
      </c>
      <c r="C20" s="38" t="s">
        <v>689</v>
      </c>
      <c r="D20" s="16" t="s">
        <v>673</v>
      </c>
      <c r="E20" s="16">
        <v>10</v>
      </c>
      <c r="F20" s="16">
        <v>0</v>
      </c>
      <c r="G20" s="16" t="str">
        <f t="shared" si="0"/>
        <v>Not Started</v>
      </c>
      <c r="H20" s="16"/>
    </row>
    <row r="21" spans="1:8" ht="19.95" customHeight="1" x14ac:dyDescent="0.3">
      <c r="A21" s="16">
        <v>19</v>
      </c>
      <c r="B21" s="16" t="s">
        <v>690</v>
      </c>
      <c r="C21" s="38" t="s">
        <v>691</v>
      </c>
      <c r="D21" s="16" t="s">
        <v>670</v>
      </c>
      <c r="E21" s="16">
        <v>10</v>
      </c>
      <c r="F21" s="16">
        <v>0</v>
      </c>
      <c r="G21" s="16" t="str">
        <f t="shared" si="0"/>
        <v>Not Started</v>
      </c>
      <c r="H21" s="16"/>
    </row>
    <row r="22" spans="1:8" ht="19.95" customHeight="1" x14ac:dyDescent="0.3">
      <c r="A22" s="16">
        <v>20</v>
      </c>
      <c r="B22" s="16" t="s">
        <v>690</v>
      </c>
      <c r="C22" s="38" t="s">
        <v>692</v>
      </c>
      <c r="D22" s="16" t="s">
        <v>670</v>
      </c>
      <c r="E22" s="16">
        <v>10</v>
      </c>
      <c r="F22" s="16">
        <v>0</v>
      </c>
      <c r="G22" s="16" t="str">
        <f t="shared" si="0"/>
        <v>Not Started</v>
      </c>
      <c r="H22" s="16"/>
    </row>
    <row r="23" spans="1:8" ht="19.95" customHeight="1" x14ac:dyDescent="0.3">
      <c r="A23" s="16">
        <v>21</v>
      </c>
      <c r="B23" s="16" t="s">
        <v>690</v>
      </c>
      <c r="C23" s="38" t="s">
        <v>693</v>
      </c>
      <c r="D23" s="16" t="s">
        <v>670</v>
      </c>
      <c r="E23" s="16">
        <v>10</v>
      </c>
      <c r="F23" s="16">
        <v>0</v>
      </c>
      <c r="G23" s="16" t="str">
        <f t="shared" si="0"/>
        <v>Not Started</v>
      </c>
      <c r="H23" s="16"/>
    </row>
    <row r="24" spans="1:8" ht="19.95" customHeight="1" x14ac:dyDescent="0.3">
      <c r="A24" s="16">
        <v>22</v>
      </c>
      <c r="B24" s="16" t="s">
        <v>690</v>
      </c>
      <c r="C24" s="38" t="s">
        <v>694</v>
      </c>
      <c r="D24" s="16" t="s">
        <v>670</v>
      </c>
      <c r="E24" s="16">
        <v>10</v>
      </c>
      <c r="F24" s="16">
        <v>0</v>
      </c>
      <c r="G24" s="16" t="str">
        <f t="shared" si="0"/>
        <v>Not Started</v>
      </c>
      <c r="H24" s="16"/>
    </row>
    <row r="25" spans="1:8" ht="19.95" customHeight="1" x14ac:dyDescent="0.3">
      <c r="A25" s="16">
        <v>23</v>
      </c>
      <c r="B25" s="16" t="s">
        <v>690</v>
      </c>
      <c r="C25" s="38" t="s">
        <v>695</v>
      </c>
      <c r="D25" s="16" t="s">
        <v>670</v>
      </c>
      <c r="E25" s="16">
        <v>10</v>
      </c>
      <c r="F25" s="16">
        <v>0</v>
      </c>
      <c r="G25" s="16" t="str">
        <f t="shared" si="0"/>
        <v>Not Started</v>
      </c>
      <c r="H25" s="16"/>
    </row>
    <row r="26" spans="1:8" ht="19.95" customHeight="1" x14ac:dyDescent="0.3">
      <c r="A26" s="16">
        <v>24</v>
      </c>
      <c r="B26" s="16" t="s">
        <v>690</v>
      </c>
      <c r="C26" s="38" t="s">
        <v>696</v>
      </c>
      <c r="D26" s="16" t="s">
        <v>670</v>
      </c>
      <c r="E26" s="16">
        <v>10</v>
      </c>
      <c r="F26" s="16">
        <v>0</v>
      </c>
      <c r="G26" s="16" t="str">
        <f t="shared" si="0"/>
        <v>Not Started</v>
      </c>
      <c r="H26" s="16"/>
    </row>
    <row r="27" spans="1:8" ht="19.95" customHeight="1" x14ac:dyDescent="0.3">
      <c r="A27" s="16">
        <v>25</v>
      </c>
      <c r="B27" s="16" t="s">
        <v>690</v>
      </c>
      <c r="C27" s="38" t="s">
        <v>697</v>
      </c>
      <c r="D27" s="16" t="s">
        <v>673</v>
      </c>
      <c r="E27" s="16">
        <v>10</v>
      </c>
      <c r="F27" s="16">
        <v>0</v>
      </c>
      <c r="G27" s="16" t="str">
        <f t="shared" si="0"/>
        <v>Not Started</v>
      </c>
      <c r="H27" s="16"/>
    </row>
    <row r="28" spans="1:8" ht="19.95" customHeight="1" x14ac:dyDescent="0.3">
      <c r="A28" s="16">
        <v>26</v>
      </c>
      <c r="B28" s="16" t="s">
        <v>690</v>
      </c>
      <c r="C28" s="38" t="s">
        <v>698</v>
      </c>
      <c r="D28" s="16" t="s">
        <v>699</v>
      </c>
      <c r="E28" s="16">
        <v>10</v>
      </c>
      <c r="F28" s="16">
        <v>0</v>
      </c>
      <c r="G28" s="16" t="str">
        <f t="shared" si="0"/>
        <v>Not Started</v>
      </c>
      <c r="H28" s="16"/>
    </row>
    <row r="29" spans="1:8" ht="19.95" customHeight="1" x14ac:dyDescent="0.3">
      <c r="A29" s="16">
        <v>27</v>
      </c>
      <c r="B29" s="16" t="s">
        <v>700</v>
      </c>
      <c r="C29" s="38" t="s">
        <v>701</v>
      </c>
      <c r="D29" s="16" t="s">
        <v>670</v>
      </c>
      <c r="E29" s="16">
        <v>10</v>
      </c>
      <c r="F29" s="16">
        <v>0</v>
      </c>
      <c r="G29" s="16" t="str">
        <f t="shared" si="0"/>
        <v>Not Started</v>
      </c>
      <c r="H29" s="16"/>
    </row>
    <row r="30" spans="1:8" ht="19.95" customHeight="1" x14ac:dyDescent="0.3">
      <c r="A30" s="16">
        <v>28</v>
      </c>
      <c r="B30" s="16" t="s">
        <v>700</v>
      </c>
      <c r="C30" s="38" t="s">
        <v>702</v>
      </c>
      <c r="D30" s="16" t="s">
        <v>670</v>
      </c>
      <c r="E30" s="16">
        <v>10</v>
      </c>
      <c r="F30" s="16">
        <v>0</v>
      </c>
      <c r="G30" s="16" t="str">
        <f t="shared" si="0"/>
        <v>Not Started</v>
      </c>
      <c r="H30" s="16"/>
    </row>
    <row r="31" spans="1:8" ht="19.95" customHeight="1" x14ac:dyDescent="0.3">
      <c r="A31" s="16">
        <v>29</v>
      </c>
      <c r="B31" s="16" t="s">
        <v>700</v>
      </c>
      <c r="C31" s="38" t="s">
        <v>703</v>
      </c>
      <c r="D31" s="16" t="s">
        <v>673</v>
      </c>
      <c r="E31" s="16">
        <v>10</v>
      </c>
      <c r="F31" s="16">
        <v>0</v>
      </c>
      <c r="G31" s="16" t="str">
        <f t="shared" si="0"/>
        <v>Not Started</v>
      </c>
      <c r="H31" s="16"/>
    </row>
    <row r="32" spans="1:8" ht="19.95" customHeight="1" x14ac:dyDescent="0.3">
      <c r="A32" s="16">
        <v>30</v>
      </c>
      <c r="B32" s="16" t="s">
        <v>700</v>
      </c>
      <c r="C32" s="38" t="s">
        <v>704</v>
      </c>
      <c r="D32" s="16" t="s">
        <v>670</v>
      </c>
      <c r="E32" s="16">
        <v>10</v>
      </c>
      <c r="F32" s="16">
        <v>0</v>
      </c>
      <c r="G32" s="16" t="str">
        <f t="shared" si="0"/>
        <v>Not Started</v>
      </c>
      <c r="H32" s="16"/>
    </row>
    <row r="33" spans="1:8" ht="19.95" customHeight="1" x14ac:dyDescent="0.3">
      <c r="A33" s="16">
        <v>31</v>
      </c>
      <c r="B33" s="16" t="s">
        <v>700</v>
      </c>
      <c r="C33" s="38" t="s">
        <v>705</v>
      </c>
      <c r="D33" s="16" t="s">
        <v>670</v>
      </c>
      <c r="E33" s="16">
        <v>10</v>
      </c>
      <c r="F33" s="16">
        <v>0</v>
      </c>
      <c r="G33" s="16" t="str">
        <f t="shared" si="0"/>
        <v>Not Started</v>
      </c>
      <c r="H33" s="16"/>
    </row>
    <row r="34" spans="1:8" ht="19.95" customHeight="1" x14ac:dyDescent="0.3">
      <c r="A34" s="16">
        <v>32</v>
      </c>
      <c r="B34" s="16" t="s">
        <v>700</v>
      </c>
      <c r="C34" s="38" t="s">
        <v>706</v>
      </c>
      <c r="D34" s="16" t="s">
        <v>673</v>
      </c>
      <c r="E34" s="16">
        <v>10</v>
      </c>
      <c r="F34" s="16">
        <v>0</v>
      </c>
      <c r="G34" s="16" t="str">
        <f t="shared" si="0"/>
        <v>Not Started</v>
      </c>
      <c r="H34" s="16"/>
    </row>
    <row r="35" spans="1:8" ht="19.95" customHeight="1" x14ac:dyDescent="0.3">
      <c r="A35" s="16">
        <v>33</v>
      </c>
      <c r="B35" s="16" t="s">
        <v>700</v>
      </c>
      <c r="C35" s="38" t="s">
        <v>707</v>
      </c>
      <c r="D35" s="16" t="s">
        <v>673</v>
      </c>
      <c r="E35" s="16">
        <v>10</v>
      </c>
      <c r="F35" s="16">
        <v>0</v>
      </c>
      <c r="G35" s="16" t="str">
        <f t="shared" ref="G35:G66" si="1">IF(F35&gt;=9,"Done",IF(F35&gt;0,"In Progress","Not Started"))</f>
        <v>Not Started</v>
      </c>
      <c r="H35" s="16"/>
    </row>
    <row r="36" spans="1:8" ht="19.95" customHeight="1" x14ac:dyDescent="0.3">
      <c r="A36" s="16">
        <v>34</v>
      </c>
      <c r="B36" s="16" t="s">
        <v>708</v>
      </c>
      <c r="C36" s="38" t="s">
        <v>709</v>
      </c>
      <c r="D36" s="16" t="s">
        <v>670</v>
      </c>
      <c r="E36" s="16">
        <v>10</v>
      </c>
      <c r="F36" s="16">
        <v>0</v>
      </c>
      <c r="G36" s="16" t="str">
        <f t="shared" si="1"/>
        <v>Not Started</v>
      </c>
      <c r="H36" s="16"/>
    </row>
    <row r="37" spans="1:8" ht="19.95" customHeight="1" x14ac:dyDescent="0.3">
      <c r="A37" s="16">
        <v>35</v>
      </c>
      <c r="B37" s="16" t="s">
        <v>708</v>
      </c>
      <c r="C37" s="38" t="s">
        <v>710</v>
      </c>
      <c r="D37" s="16" t="s">
        <v>670</v>
      </c>
      <c r="E37" s="16">
        <v>10</v>
      </c>
      <c r="F37" s="16">
        <v>0</v>
      </c>
      <c r="G37" s="16" t="str">
        <f t="shared" si="1"/>
        <v>Not Started</v>
      </c>
      <c r="H37" s="16"/>
    </row>
    <row r="38" spans="1:8" ht="19.95" customHeight="1" x14ac:dyDescent="0.3">
      <c r="A38" s="16">
        <v>36</v>
      </c>
      <c r="B38" s="16" t="s">
        <v>708</v>
      </c>
      <c r="C38" s="38" t="s">
        <v>711</v>
      </c>
      <c r="D38" s="16" t="s">
        <v>673</v>
      </c>
      <c r="E38" s="16">
        <v>10</v>
      </c>
      <c r="F38" s="16">
        <v>0</v>
      </c>
      <c r="G38" s="16" t="str">
        <f t="shared" si="1"/>
        <v>Not Started</v>
      </c>
      <c r="H38" s="16"/>
    </row>
    <row r="39" spans="1:8" ht="19.95" customHeight="1" x14ac:dyDescent="0.3">
      <c r="A39" s="16">
        <v>37</v>
      </c>
      <c r="B39" s="16" t="s">
        <v>708</v>
      </c>
      <c r="C39" s="38" t="s">
        <v>712</v>
      </c>
      <c r="D39" s="16" t="s">
        <v>670</v>
      </c>
      <c r="E39" s="16">
        <v>10</v>
      </c>
      <c r="F39" s="16">
        <v>0</v>
      </c>
      <c r="G39" s="16" t="str">
        <f t="shared" si="1"/>
        <v>Not Started</v>
      </c>
      <c r="H39" s="16"/>
    </row>
    <row r="40" spans="1:8" ht="19.95" customHeight="1" x14ac:dyDescent="0.3">
      <c r="A40" s="16">
        <v>38</v>
      </c>
      <c r="B40" s="16" t="s">
        <v>708</v>
      </c>
      <c r="C40" s="38" t="s">
        <v>713</v>
      </c>
      <c r="D40" s="16" t="s">
        <v>670</v>
      </c>
      <c r="E40" s="16">
        <v>10</v>
      </c>
      <c r="F40" s="16">
        <v>0</v>
      </c>
      <c r="G40" s="16" t="str">
        <f t="shared" si="1"/>
        <v>Not Started</v>
      </c>
      <c r="H40" s="16"/>
    </row>
    <row r="41" spans="1:8" ht="19.95" customHeight="1" x14ac:dyDescent="0.3">
      <c r="A41" s="16">
        <v>39</v>
      </c>
      <c r="B41" s="16" t="s">
        <v>708</v>
      </c>
      <c r="C41" s="38" t="s">
        <v>714</v>
      </c>
      <c r="D41" s="16" t="s">
        <v>673</v>
      </c>
      <c r="E41" s="16">
        <v>10</v>
      </c>
      <c r="F41" s="16">
        <v>0</v>
      </c>
      <c r="G41" s="16" t="str">
        <f t="shared" si="1"/>
        <v>Not Started</v>
      </c>
      <c r="H41" s="16"/>
    </row>
    <row r="42" spans="1:8" ht="19.95" customHeight="1" x14ac:dyDescent="0.3">
      <c r="A42" s="16">
        <v>40</v>
      </c>
      <c r="B42" s="16" t="s">
        <v>715</v>
      </c>
      <c r="C42" s="38" t="s">
        <v>716</v>
      </c>
      <c r="D42" s="16" t="s">
        <v>673</v>
      </c>
      <c r="E42" s="16">
        <v>10</v>
      </c>
      <c r="F42" s="16">
        <v>0</v>
      </c>
      <c r="G42" s="16" t="str">
        <f t="shared" si="1"/>
        <v>Not Started</v>
      </c>
      <c r="H42" s="16"/>
    </row>
    <row r="43" spans="1:8" ht="19.95" customHeight="1" x14ac:dyDescent="0.3">
      <c r="A43" s="16">
        <v>41</v>
      </c>
      <c r="B43" s="16" t="s">
        <v>715</v>
      </c>
      <c r="C43" s="38" t="s">
        <v>717</v>
      </c>
      <c r="D43" s="16" t="s">
        <v>699</v>
      </c>
      <c r="E43" s="16">
        <v>10</v>
      </c>
      <c r="F43" s="16">
        <v>0</v>
      </c>
      <c r="G43" s="16" t="str">
        <f t="shared" si="1"/>
        <v>Not Started</v>
      </c>
      <c r="H43" s="16"/>
    </row>
    <row r="44" spans="1:8" ht="19.95" customHeight="1" x14ac:dyDescent="0.3">
      <c r="A44" s="16">
        <v>42</v>
      </c>
      <c r="B44" s="16" t="s">
        <v>715</v>
      </c>
      <c r="C44" s="38" t="s">
        <v>718</v>
      </c>
      <c r="D44" s="16" t="s">
        <v>670</v>
      </c>
      <c r="E44" s="16">
        <v>10</v>
      </c>
      <c r="F44" s="16">
        <v>0</v>
      </c>
      <c r="G44" s="16" t="str">
        <f t="shared" si="1"/>
        <v>Not Started</v>
      </c>
      <c r="H44" s="16"/>
    </row>
    <row r="45" spans="1:8" ht="19.95" customHeight="1" x14ac:dyDescent="0.3">
      <c r="A45" s="16">
        <v>43</v>
      </c>
      <c r="B45" s="16" t="s">
        <v>715</v>
      </c>
      <c r="C45" s="38" t="s">
        <v>719</v>
      </c>
      <c r="D45" s="16" t="s">
        <v>699</v>
      </c>
      <c r="E45" s="16">
        <v>10</v>
      </c>
      <c r="F45" s="16">
        <v>0</v>
      </c>
      <c r="G45" s="16" t="str">
        <f t="shared" si="1"/>
        <v>Not Started</v>
      </c>
      <c r="H45" s="16"/>
    </row>
    <row r="46" spans="1:8" ht="19.95" customHeight="1" x14ac:dyDescent="0.3">
      <c r="A46" s="16">
        <v>44</v>
      </c>
      <c r="B46" s="16" t="s">
        <v>715</v>
      </c>
      <c r="C46" s="38" t="s">
        <v>720</v>
      </c>
      <c r="D46" s="16" t="s">
        <v>670</v>
      </c>
      <c r="E46" s="16">
        <v>10</v>
      </c>
      <c r="F46" s="16">
        <v>0</v>
      </c>
      <c r="G46" s="16" t="str">
        <f t="shared" si="1"/>
        <v>Not Started</v>
      </c>
      <c r="H46" s="16"/>
    </row>
    <row r="47" spans="1:8" ht="19.95" customHeight="1" x14ac:dyDescent="0.3">
      <c r="A47" s="16">
        <v>45</v>
      </c>
      <c r="B47" s="16" t="s">
        <v>715</v>
      </c>
      <c r="C47" s="38" t="s">
        <v>721</v>
      </c>
      <c r="D47" s="16" t="s">
        <v>670</v>
      </c>
      <c r="E47" s="16">
        <v>10</v>
      </c>
      <c r="F47" s="16">
        <v>0</v>
      </c>
      <c r="G47" s="16" t="str">
        <f t="shared" si="1"/>
        <v>Not Started</v>
      </c>
      <c r="H47" s="16"/>
    </row>
    <row r="48" spans="1:8" ht="19.95" customHeight="1" x14ac:dyDescent="0.3">
      <c r="A48" s="16">
        <v>46</v>
      </c>
      <c r="B48" s="16" t="s">
        <v>715</v>
      </c>
      <c r="C48" s="38" t="s">
        <v>722</v>
      </c>
      <c r="D48" s="16" t="s">
        <v>673</v>
      </c>
      <c r="E48" s="16">
        <v>10</v>
      </c>
      <c r="F48" s="16">
        <v>0</v>
      </c>
      <c r="G48" s="16" t="str">
        <f t="shared" si="1"/>
        <v>Not Started</v>
      </c>
      <c r="H48" s="16"/>
    </row>
    <row r="49" spans="1:8" ht="19.95" customHeight="1" x14ac:dyDescent="0.3">
      <c r="A49" s="16">
        <v>47</v>
      </c>
      <c r="B49" s="16" t="s">
        <v>715</v>
      </c>
      <c r="C49" s="38" t="s">
        <v>723</v>
      </c>
      <c r="D49" s="16" t="s">
        <v>699</v>
      </c>
      <c r="E49" s="16">
        <v>10</v>
      </c>
      <c r="F49" s="16">
        <v>0</v>
      </c>
      <c r="G49" s="16" t="str">
        <f t="shared" si="1"/>
        <v>Not Started</v>
      </c>
      <c r="H49" s="16"/>
    </row>
    <row r="50" spans="1:8" ht="19.95" customHeight="1" x14ac:dyDescent="0.3">
      <c r="A50" s="16">
        <v>48</v>
      </c>
      <c r="B50" s="16" t="s">
        <v>724</v>
      </c>
      <c r="C50" s="38" t="s">
        <v>725</v>
      </c>
      <c r="D50" s="16" t="s">
        <v>670</v>
      </c>
      <c r="E50" s="16">
        <v>10</v>
      </c>
      <c r="F50" s="16">
        <v>0</v>
      </c>
      <c r="G50" s="16" t="str">
        <f t="shared" si="1"/>
        <v>Not Started</v>
      </c>
      <c r="H50" s="16"/>
    </row>
    <row r="51" spans="1:8" ht="19.95" customHeight="1" x14ac:dyDescent="0.3">
      <c r="A51" s="16">
        <v>49</v>
      </c>
      <c r="B51" s="16" t="s">
        <v>724</v>
      </c>
      <c r="C51" s="38" t="s">
        <v>726</v>
      </c>
      <c r="D51" s="16" t="s">
        <v>670</v>
      </c>
      <c r="E51" s="16">
        <v>10</v>
      </c>
      <c r="F51" s="16">
        <v>0</v>
      </c>
      <c r="G51" s="16" t="str">
        <f t="shared" si="1"/>
        <v>Not Started</v>
      </c>
      <c r="H51" s="16"/>
    </row>
    <row r="52" spans="1:8" ht="19.95" customHeight="1" x14ac:dyDescent="0.3">
      <c r="A52" s="16">
        <v>50</v>
      </c>
      <c r="B52" s="16" t="s">
        <v>724</v>
      </c>
      <c r="C52" s="38" t="s">
        <v>727</v>
      </c>
      <c r="D52" s="16" t="s">
        <v>670</v>
      </c>
      <c r="E52" s="16">
        <v>10</v>
      </c>
      <c r="F52" s="16">
        <v>0</v>
      </c>
      <c r="G52" s="16" t="str">
        <f t="shared" si="1"/>
        <v>Not Started</v>
      </c>
      <c r="H52" s="16"/>
    </row>
    <row r="53" spans="1:8" ht="19.95" customHeight="1" x14ac:dyDescent="0.3">
      <c r="A53" s="16">
        <v>51</v>
      </c>
      <c r="B53" s="16" t="s">
        <v>724</v>
      </c>
      <c r="C53" s="38" t="s">
        <v>728</v>
      </c>
      <c r="D53" s="16" t="s">
        <v>670</v>
      </c>
      <c r="E53" s="16">
        <v>10</v>
      </c>
      <c r="F53" s="16">
        <v>0</v>
      </c>
      <c r="G53" s="16" t="str">
        <f t="shared" si="1"/>
        <v>Not Started</v>
      </c>
      <c r="H53" s="16"/>
    </row>
    <row r="54" spans="1:8" ht="19.95" customHeight="1" x14ac:dyDescent="0.3">
      <c r="A54" s="16">
        <v>52</v>
      </c>
      <c r="B54" s="16" t="s">
        <v>724</v>
      </c>
      <c r="C54" s="38" t="s">
        <v>729</v>
      </c>
      <c r="D54" s="16" t="s">
        <v>670</v>
      </c>
      <c r="E54" s="16">
        <v>10</v>
      </c>
      <c r="F54" s="16">
        <v>0</v>
      </c>
      <c r="G54" s="16" t="str">
        <f t="shared" si="1"/>
        <v>Not Started</v>
      </c>
      <c r="H54" s="16"/>
    </row>
    <row r="55" spans="1:8" ht="19.95" customHeight="1" x14ac:dyDescent="0.3">
      <c r="A55" s="16">
        <v>53</v>
      </c>
      <c r="B55" s="16" t="s">
        <v>724</v>
      </c>
      <c r="C55" s="38" t="s">
        <v>730</v>
      </c>
      <c r="D55" s="16" t="s">
        <v>670</v>
      </c>
      <c r="E55" s="16">
        <v>10</v>
      </c>
      <c r="F55" s="16">
        <v>0</v>
      </c>
      <c r="G55" s="16" t="str">
        <f t="shared" si="1"/>
        <v>Not Started</v>
      </c>
      <c r="H55" s="16"/>
    </row>
    <row r="56" spans="1:8" ht="19.95" customHeight="1" x14ac:dyDescent="0.3">
      <c r="A56" s="16">
        <v>54</v>
      </c>
      <c r="B56" s="16" t="s">
        <v>724</v>
      </c>
      <c r="C56" s="38" t="s">
        <v>731</v>
      </c>
      <c r="D56" s="16" t="s">
        <v>670</v>
      </c>
      <c r="E56" s="16">
        <v>10</v>
      </c>
      <c r="F56" s="16">
        <v>0</v>
      </c>
      <c r="G56" s="16" t="str">
        <f t="shared" si="1"/>
        <v>Not Started</v>
      </c>
      <c r="H56" s="16"/>
    </row>
    <row r="57" spans="1:8" ht="19.95" customHeight="1" x14ac:dyDescent="0.3">
      <c r="A57" s="16">
        <v>55</v>
      </c>
      <c r="B57" s="16" t="s">
        <v>732</v>
      </c>
      <c r="C57" s="38" t="s">
        <v>733</v>
      </c>
      <c r="D57" s="16" t="s">
        <v>670</v>
      </c>
      <c r="E57" s="16">
        <v>10</v>
      </c>
      <c r="F57" s="16">
        <v>0</v>
      </c>
      <c r="G57" s="16" t="str">
        <f t="shared" si="1"/>
        <v>Not Started</v>
      </c>
      <c r="H57" s="16"/>
    </row>
    <row r="58" spans="1:8" ht="19.95" customHeight="1" x14ac:dyDescent="0.3">
      <c r="A58" s="16">
        <v>56</v>
      </c>
      <c r="B58" s="16" t="s">
        <v>732</v>
      </c>
      <c r="C58" s="38" t="s">
        <v>734</v>
      </c>
      <c r="D58" s="16" t="s">
        <v>670</v>
      </c>
      <c r="E58" s="16">
        <v>10</v>
      </c>
      <c r="F58" s="16">
        <v>0</v>
      </c>
      <c r="G58" s="16" t="str">
        <f t="shared" si="1"/>
        <v>Not Started</v>
      </c>
      <c r="H58" s="16"/>
    </row>
    <row r="59" spans="1:8" ht="19.95" customHeight="1" x14ac:dyDescent="0.3">
      <c r="A59" s="16">
        <v>57</v>
      </c>
      <c r="B59" s="16" t="s">
        <v>732</v>
      </c>
      <c r="C59" s="38" t="s">
        <v>735</v>
      </c>
      <c r="D59" s="16" t="s">
        <v>670</v>
      </c>
      <c r="E59" s="16">
        <v>10</v>
      </c>
      <c r="F59" s="16">
        <v>0</v>
      </c>
      <c r="G59" s="16" t="str">
        <f t="shared" si="1"/>
        <v>Not Started</v>
      </c>
      <c r="H59" s="16"/>
    </row>
    <row r="60" spans="1:8" ht="19.95" customHeight="1" x14ac:dyDescent="0.3">
      <c r="A60" s="16">
        <v>58</v>
      </c>
      <c r="B60" s="16" t="s">
        <v>732</v>
      </c>
      <c r="C60" s="38" t="s">
        <v>736</v>
      </c>
      <c r="D60" s="16" t="s">
        <v>670</v>
      </c>
      <c r="E60" s="16">
        <v>10</v>
      </c>
      <c r="F60" s="16">
        <v>0</v>
      </c>
      <c r="G60" s="16" t="str">
        <f t="shared" si="1"/>
        <v>Not Started</v>
      </c>
      <c r="H60" s="16"/>
    </row>
    <row r="61" spans="1:8" ht="19.95" customHeight="1" x14ac:dyDescent="0.3">
      <c r="A61" s="16">
        <v>59</v>
      </c>
      <c r="B61" s="16" t="s">
        <v>732</v>
      </c>
      <c r="C61" s="38" t="s">
        <v>737</v>
      </c>
      <c r="D61" s="16" t="s">
        <v>670</v>
      </c>
      <c r="E61" s="16">
        <v>10</v>
      </c>
      <c r="F61" s="16">
        <v>0</v>
      </c>
      <c r="G61" s="16" t="str">
        <f t="shared" si="1"/>
        <v>Not Started</v>
      </c>
      <c r="H61" s="16"/>
    </row>
    <row r="62" spans="1:8" ht="19.95" customHeight="1" x14ac:dyDescent="0.3">
      <c r="A62" s="16">
        <v>60</v>
      </c>
      <c r="B62" s="16" t="s">
        <v>732</v>
      </c>
      <c r="C62" s="38" t="s">
        <v>738</v>
      </c>
      <c r="D62" s="16" t="s">
        <v>670</v>
      </c>
      <c r="E62" s="16">
        <v>10</v>
      </c>
      <c r="F62" s="16">
        <v>0</v>
      </c>
      <c r="G62" s="16" t="str">
        <f t="shared" si="1"/>
        <v>Not Started</v>
      </c>
      <c r="H62" s="16"/>
    </row>
    <row r="63" spans="1:8" ht="19.95" customHeight="1" x14ac:dyDescent="0.3">
      <c r="A63" s="16">
        <v>61</v>
      </c>
      <c r="B63" s="16" t="s">
        <v>732</v>
      </c>
      <c r="C63" s="38" t="s">
        <v>739</v>
      </c>
      <c r="D63" s="16" t="s">
        <v>670</v>
      </c>
      <c r="E63" s="16">
        <v>10</v>
      </c>
      <c r="F63" s="16">
        <v>0</v>
      </c>
      <c r="G63" s="16" t="str">
        <f t="shared" si="1"/>
        <v>Not Started</v>
      </c>
      <c r="H63" s="16"/>
    </row>
    <row r="64" spans="1:8" ht="19.95" customHeight="1" x14ac:dyDescent="0.3">
      <c r="A64" s="16">
        <v>62</v>
      </c>
      <c r="B64" s="16" t="s">
        <v>732</v>
      </c>
      <c r="C64" s="38" t="s">
        <v>740</v>
      </c>
      <c r="D64" s="16" t="s">
        <v>670</v>
      </c>
      <c r="E64" s="16">
        <v>10</v>
      </c>
      <c r="F64" s="16">
        <v>0</v>
      </c>
      <c r="G64" s="16" t="str">
        <f t="shared" si="1"/>
        <v>Not Started</v>
      </c>
      <c r="H64" s="16"/>
    </row>
    <row r="65" spans="1:8" ht="19.95" customHeight="1" x14ac:dyDescent="0.3">
      <c r="A65" s="16">
        <v>63</v>
      </c>
      <c r="B65" s="16" t="s">
        <v>741</v>
      </c>
      <c r="C65" s="38" t="s">
        <v>742</v>
      </c>
      <c r="D65" s="16" t="s">
        <v>670</v>
      </c>
      <c r="E65" s="16">
        <v>10</v>
      </c>
      <c r="F65" s="16">
        <v>0</v>
      </c>
      <c r="G65" s="16" t="str">
        <f t="shared" si="1"/>
        <v>Not Started</v>
      </c>
      <c r="H65" s="16"/>
    </row>
    <row r="66" spans="1:8" ht="19.95" customHeight="1" x14ac:dyDescent="0.3">
      <c r="A66" s="16">
        <v>64</v>
      </c>
      <c r="B66" s="16" t="s">
        <v>741</v>
      </c>
      <c r="C66" s="38" t="s">
        <v>743</v>
      </c>
      <c r="D66" s="16" t="s">
        <v>673</v>
      </c>
      <c r="E66" s="16">
        <v>10</v>
      </c>
      <c r="F66" s="16">
        <v>0</v>
      </c>
      <c r="G66" s="16" t="str">
        <f t="shared" si="1"/>
        <v>Not Started</v>
      </c>
      <c r="H66" s="16"/>
    </row>
    <row r="67" spans="1:8" ht="19.95" customHeight="1" x14ac:dyDescent="0.3">
      <c r="A67" s="16">
        <v>65</v>
      </c>
      <c r="B67" s="16" t="s">
        <v>741</v>
      </c>
      <c r="C67" s="38" t="s">
        <v>744</v>
      </c>
      <c r="D67" s="16" t="s">
        <v>699</v>
      </c>
      <c r="E67" s="16">
        <v>10</v>
      </c>
      <c r="F67" s="16">
        <v>0</v>
      </c>
      <c r="G67" s="16" t="str">
        <f t="shared" ref="G67:G75" si="2">IF(F67&gt;=9,"Done",IF(F67&gt;0,"In Progress","Not Started"))</f>
        <v>Not Started</v>
      </c>
      <c r="H67" s="16"/>
    </row>
    <row r="68" spans="1:8" ht="19.95" customHeight="1" x14ac:dyDescent="0.3">
      <c r="A68" s="16">
        <v>66</v>
      </c>
      <c r="B68" s="16" t="s">
        <v>741</v>
      </c>
      <c r="C68" s="38" t="s">
        <v>745</v>
      </c>
      <c r="D68" s="16" t="s">
        <v>699</v>
      </c>
      <c r="E68" s="16">
        <v>10</v>
      </c>
      <c r="F68" s="16">
        <v>0</v>
      </c>
      <c r="G68" s="16" t="str">
        <f t="shared" si="2"/>
        <v>Not Started</v>
      </c>
      <c r="H68" s="16"/>
    </row>
    <row r="69" spans="1:8" ht="19.95" customHeight="1" x14ac:dyDescent="0.3">
      <c r="A69" s="16">
        <v>67</v>
      </c>
      <c r="B69" s="16" t="s">
        <v>741</v>
      </c>
      <c r="C69" s="38" t="s">
        <v>746</v>
      </c>
      <c r="D69" s="16" t="s">
        <v>673</v>
      </c>
      <c r="E69" s="16">
        <v>10</v>
      </c>
      <c r="F69" s="16">
        <v>0</v>
      </c>
      <c r="G69" s="16" t="str">
        <f t="shared" si="2"/>
        <v>Not Started</v>
      </c>
      <c r="H69" s="16"/>
    </row>
    <row r="70" spans="1:8" ht="19.95" customHeight="1" x14ac:dyDescent="0.3">
      <c r="A70" s="16">
        <v>68</v>
      </c>
      <c r="B70" s="16" t="s">
        <v>741</v>
      </c>
      <c r="C70" s="38" t="s">
        <v>747</v>
      </c>
      <c r="D70" s="16" t="s">
        <v>699</v>
      </c>
      <c r="E70" s="16">
        <v>10</v>
      </c>
      <c r="F70" s="16">
        <v>0</v>
      </c>
      <c r="G70" s="16" t="str">
        <f t="shared" si="2"/>
        <v>Not Started</v>
      </c>
      <c r="H70" s="16"/>
    </row>
    <row r="71" spans="1:8" ht="19.95" customHeight="1" x14ac:dyDescent="0.3">
      <c r="A71" s="16">
        <v>69</v>
      </c>
      <c r="B71" s="16" t="s">
        <v>748</v>
      </c>
      <c r="C71" s="38" t="s">
        <v>749</v>
      </c>
      <c r="D71" s="16" t="s">
        <v>670</v>
      </c>
      <c r="E71" s="16">
        <v>10</v>
      </c>
      <c r="F71" s="16">
        <v>0</v>
      </c>
      <c r="G71" s="16" t="str">
        <f t="shared" si="2"/>
        <v>Not Started</v>
      </c>
      <c r="H71" s="16"/>
    </row>
    <row r="72" spans="1:8" ht="19.95" customHeight="1" x14ac:dyDescent="0.3">
      <c r="A72" s="16">
        <v>70</v>
      </c>
      <c r="B72" s="16" t="s">
        <v>748</v>
      </c>
      <c r="C72" s="38" t="s">
        <v>750</v>
      </c>
      <c r="D72" s="16" t="s">
        <v>670</v>
      </c>
      <c r="E72" s="16">
        <v>10</v>
      </c>
      <c r="F72" s="16">
        <v>0</v>
      </c>
      <c r="G72" s="16" t="str">
        <f t="shared" si="2"/>
        <v>Not Started</v>
      </c>
      <c r="H72" s="16"/>
    </row>
    <row r="73" spans="1:8" ht="19.95" customHeight="1" x14ac:dyDescent="0.3">
      <c r="A73" s="16">
        <v>71</v>
      </c>
      <c r="B73" s="16" t="s">
        <v>748</v>
      </c>
      <c r="C73" s="38" t="s">
        <v>751</v>
      </c>
      <c r="D73" s="16" t="s">
        <v>670</v>
      </c>
      <c r="E73" s="16">
        <v>10</v>
      </c>
      <c r="F73" s="16">
        <v>0</v>
      </c>
      <c r="G73" s="16" t="str">
        <f t="shared" si="2"/>
        <v>Not Started</v>
      </c>
      <c r="H73" s="16"/>
    </row>
    <row r="74" spans="1:8" ht="19.95" customHeight="1" x14ac:dyDescent="0.3">
      <c r="A74" s="16">
        <v>72</v>
      </c>
      <c r="B74" s="16" t="s">
        <v>748</v>
      </c>
      <c r="C74" s="38" t="s">
        <v>752</v>
      </c>
      <c r="D74" s="16" t="s">
        <v>670</v>
      </c>
      <c r="E74" s="16">
        <v>10</v>
      </c>
      <c r="F74" s="16">
        <v>0</v>
      </c>
      <c r="G74" s="16" t="str">
        <f t="shared" si="2"/>
        <v>Not Started</v>
      </c>
      <c r="H74" s="16"/>
    </row>
    <row r="75" spans="1:8" ht="19.95" customHeight="1" x14ac:dyDescent="0.3">
      <c r="A75" s="16">
        <v>73</v>
      </c>
      <c r="B75" s="16" t="s">
        <v>748</v>
      </c>
      <c r="C75" s="38" t="s">
        <v>753</v>
      </c>
      <c r="D75" s="16" t="s">
        <v>673</v>
      </c>
      <c r="E75" s="16">
        <v>10</v>
      </c>
      <c r="F75" s="16">
        <v>0</v>
      </c>
      <c r="G75" s="16" t="str">
        <f t="shared" si="2"/>
        <v>Not Started</v>
      </c>
      <c r="H75" s="16"/>
    </row>
  </sheetData>
  <mergeCells count="1">
    <mergeCell ref="A1:H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59E7-AEDB-4D0C-9309-E9C76B182B38}">
  <sheetPr codeName="Sheet31"/>
  <dimension ref="A1:L18"/>
  <sheetViews>
    <sheetView workbookViewId="0"/>
  </sheetViews>
  <sheetFormatPr defaultRowHeight="14.4" x14ac:dyDescent="0.3"/>
  <cols>
    <col min="1" max="1" width="14.77734375" customWidth="1"/>
    <col min="2" max="2" width="28.77734375" customWidth="1"/>
    <col min="3" max="3" width="22.77734375" customWidth="1"/>
    <col min="4" max="4" width="12.77734375" customWidth="1"/>
    <col min="5" max="5" width="15.77734375" customWidth="1"/>
    <col min="6" max="6" width="8.77734375" customWidth="1"/>
  </cols>
  <sheetData>
    <row r="1" spans="1:12" ht="31.95" customHeight="1" x14ac:dyDescent="0.3">
      <c r="A1" s="158" t="s">
        <v>1155</v>
      </c>
      <c r="B1" s="143"/>
      <c r="C1" s="143"/>
      <c r="D1" s="143"/>
      <c r="E1" s="143"/>
      <c r="F1" s="143"/>
      <c r="G1" s="2"/>
      <c r="H1" s="2"/>
      <c r="I1" s="2"/>
      <c r="J1" s="2"/>
      <c r="K1" s="2"/>
      <c r="L1" s="2"/>
    </row>
    <row r="2" spans="1:12" ht="25.95" customHeight="1" x14ac:dyDescent="0.3">
      <c r="A2" s="26" t="s">
        <v>142</v>
      </c>
      <c r="B2" s="26" t="s">
        <v>754</v>
      </c>
      <c r="C2" s="26" t="s">
        <v>755</v>
      </c>
      <c r="D2" s="26" t="s">
        <v>274</v>
      </c>
      <c r="E2" s="26" t="s">
        <v>415</v>
      </c>
      <c r="F2" s="26" t="s">
        <v>179</v>
      </c>
    </row>
    <row r="3" spans="1:12" ht="22.05" customHeight="1" x14ac:dyDescent="0.3">
      <c r="A3" s="96" t="s">
        <v>756</v>
      </c>
      <c r="B3" s="97" t="s">
        <v>757</v>
      </c>
      <c r="C3" s="97" t="s">
        <v>758</v>
      </c>
      <c r="D3" s="97" t="s">
        <v>277</v>
      </c>
      <c r="E3" s="97" t="s">
        <v>759</v>
      </c>
      <c r="F3" s="97"/>
      <c r="G3" s="2"/>
      <c r="H3" s="2"/>
      <c r="I3" s="2"/>
      <c r="J3" s="2"/>
      <c r="K3" s="2"/>
      <c r="L3" s="2"/>
    </row>
    <row r="4" spans="1:12" ht="22.05" customHeight="1" x14ac:dyDescent="0.3">
      <c r="A4" s="16" t="s">
        <v>760</v>
      </c>
      <c r="B4" s="16" t="s">
        <v>761</v>
      </c>
      <c r="C4" s="16" t="s">
        <v>762</v>
      </c>
      <c r="D4" s="16" t="s">
        <v>277</v>
      </c>
      <c r="E4" s="16" t="s">
        <v>763</v>
      </c>
      <c r="F4" s="16"/>
    </row>
    <row r="5" spans="1:12" ht="22.05" customHeight="1" x14ac:dyDescent="0.3">
      <c r="A5" s="16" t="s">
        <v>764</v>
      </c>
      <c r="B5" s="16" t="s">
        <v>765</v>
      </c>
      <c r="C5" s="16" t="s">
        <v>766</v>
      </c>
      <c r="D5" s="16" t="s">
        <v>277</v>
      </c>
      <c r="E5" s="16" t="s">
        <v>767</v>
      </c>
      <c r="F5" s="16"/>
    </row>
    <row r="6" spans="1:12" ht="22.05" customHeight="1" x14ac:dyDescent="0.3">
      <c r="A6" s="16" t="s">
        <v>768</v>
      </c>
      <c r="B6" s="16" t="s">
        <v>769</v>
      </c>
      <c r="C6" s="16" t="s">
        <v>770</v>
      </c>
      <c r="D6" s="16" t="s">
        <v>277</v>
      </c>
      <c r="E6" s="16" t="s">
        <v>771</v>
      </c>
      <c r="F6" s="16"/>
    </row>
    <row r="7" spans="1:12" ht="22.05" customHeight="1" x14ac:dyDescent="0.3">
      <c r="A7" s="16" t="s">
        <v>772</v>
      </c>
      <c r="B7" s="16" t="s">
        <v>773</v>
      </c>
      <c r="C7" s="16" t="s">
        <v>774</v>
      </c>
      <c r="D7" s="16" t="s">
        <v>277</v>
      </c>
      <c r="E7" s="16" t="s">
        <v>774</v>
      </c>
      <c r="F7" s="16"/>
    </row>
    <row r="8" spans="1:12" ht="22.05" customHeight="1" x14ac:dyDescent="0.3">
      <c r="A8" s="16" t="s">
        <v>775</v>
      </c>
      <c r="B8" s="16" t="s">
        <v>776</v>
      </c>
      <c r="C8" s="16" t="s">
        <v>767</v>
      </c>
      <c r="D8" s="16" t="s">
        <v>777</v>
      </c>
      <c r="E8" s="16" t="s">
        <v>767</v>
      </c>
      <c r="F8" s="16"/>
    </row>
    <row r="9" spans="1:12" ht="22.05" customHeight="1" x14ac:dyDescent="0.3">
      <c r="A9" s="16" t="s">
        <v>778</v>
      </c>
      <c r="B9" s="16" t="s">
        <v>779</v>
      </c>
      <c r="C9" s="16" t="s">
        <v>780</v>
      </c>
      <c r="D9" s="16" t="s">
        <v>277</v>
      </c>
      <c r="E9" s="16" t="s">
        <v>781</v>
      </c>
      <c r="F9" s="16"/>
    </row>
    <row r="10" spans="1:12" ht="22.05" customHeight="1" x14ac:dyDescent="0.3">
      <c r="A10" s="16" t="s">
        <v>782</v>
      </c>
      <c r="B10" s="16" t="s">
        <v>783</v>
      </c>
      <c r="C10" s="16" t="s">
        <v>784</v>
      </c>
      <c r="D10" s="16" t="s">
        <v>777</v>
      </c>
      <c r="E10" s="16" t="s">
        <v>785</v>
      </c>
      <c r="F10" s="16"/>
    </row>
    <row r="11" spans="1:12" ht="22.05" customHeight="1" x14ac:dyDescent="0.3">
      <c r="A11" s="16" t="s">
        <v>786</v>
      </c>
      <c r="B11" s="16" t="s">
        <v>787</v>
      </c>
      <c r="C11" s="16" t="s">
        <v>788</v>
      </c>
      <c r="D11" s="16" t="s">
        <v>777</v>
      </c>
      <c r="E11" s="16" t="s">
        <v>767</v>
      </c>
      <c r="F11" s="16"/>
    </row>
    <row r="12" spans="1:12" ht="22.05" customHeight="1" x14ac:dyDescent="0.3">
      <c r="A12" s="16" t="s">
        <v>756</v>
      </c>
      <c r="B12" s="16" t="s">
        <v>789</v>
      </c>
      <c r="C12" s="16" t="s">
        <v>790</v>
      </c>
      <c r="D12" s="16" t="s">
        <v>277</v>
      </c>
      <c r="E12" s="16" t="s">
        <v>791</v>
      </c>
      <c r="F12" s="16"/>
    </row>
    <row r="13" spans="1:12" ht="22.05" customHeight="1" x14ac:dyDescent="0.3">
      <c r="A13" s="16" t="s">
        <v>760</v>
      </c>
      <c r="B13" s="16" t="s">
        <v>792</v>
      </c>
      <c r="C13" s="16" t="s">
        <v>793</v>
      </c>
      <c r="D13" s="16" t="s">
        <v>277</v>
      </c>
      <c r="E13" s="16" t="s">
        <v>793</v>
      </c>
      <c r="F13" s="16"/>
    </row>
    <row r="14" spans="1:12" ht="22.05" customHeight="1" x14ac:dyDescent="0.3">
      <c r="A14" s="16" t="s">
        <v>764</v>
      </c>
      <c r="B14" s="16" t="s">
        <v>794</v>
      </c>
      <c r="C14" s="16" t="s">
        <v>795</v>
      </c>
      <c r="D14" s="16" t="s">
        <v>277</v>
      </c>
      <c r="E14" s="16" t="s">
        <v>759</v>
      </c>
      <c r="F14" s="16"/>
    </row>
    <row r="15" spans="1:12" ht="22.05" customHeight="1" x14ac:dyDescent="0.3">
      <c r="A15" s="16" t="s">
        <v>768</v>
      </c>
      <c r="B15" s="16" t="s">
        <v>796</v>
      </c>
      <c r="C15" s="16" t="s">
        <v>797</v>
      </c>
      <c r="D15" s="16" t="s">
        <v>277</v>
      </c>
      <c r="E15" s="16" t="s">
        <v>763</v>
      </c>
      <c r="F15" s="16"/>
    </row>
    <row r="16" spans="1:12" ht="22.05" customHeight="1" x14ac:dyDescent="0.3">
      <c r="A16" s="16" t="s">
        <v>772</v>
      </c>
      <c r="B16" s="16" t="s">
        <v>798</v>
      </c>
      <c r="C16" s="16" t="s">
        <v>799</v>
      </c>
      <c r="D16" s="16" t="s">
        <v>277</v>
      </c>
      <c r="E16" s="16" t="s">
        <v>759</v>
      </c>
      <c r="F16" s="16"/>
    </row>
    <row r="17" spans="1:6" ht="22.05" customHeight="1" x14ac:dyDescent="0.3">
      <c r="A17" s="37">
        <v>0.41666666666666669</v>
      </c>
      <c r="B17" s="16" t="s">
        <v>176</v>
      </c>
      <c r="C17" s="16" t="s">
        <v>800</v>
      </c>
      <c r="D17" s="16" t="s">
        <v>283</v>
      </c>
      <c r="E17" s="16" t="s">
        <v>759</v>
      </c>
      <c r="F17" s="16"/>
    </row>
    <row r="18" spans="1:6" ht="22.05" customHeight="1" x14ac:dyDescent="0.3">
      <c r="A18" s="37"/>
      <c r="B18" s="16"/>
      <c r="C18" s="16"/>
      <c r="D18" s="16"/>
      <c r="E18" s="16"/>
      <c r="F18" s="16"/>
    </row>
  </sheetData>
  <mergeCells count="1"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8559-B004-4476-A3BD-2F0EA960553C}">
  <sheetPr codeName="Sheet32"/>
  <dimension ref="A1:L16"/>
  <sheetViews>
    <sheetView workbookViewId="0"/>
  </sheetViews>
  <sheetFormatPr defaultRowHeight="14.4" x14ac:dyDescent="0.3"/>
  <cols>
    <col min="1" max="1" width="10.77734375" customWidth="1"/>
    <col min="2" max="2" width="22.77734375" customWidth="1"/>
    <col min="3" max="3" width="25.77734375" customWidth="1"/>
    <col min="4" max="4" width="28.77734375" customWidth="1"/>
    <col min="5" max="5" width="10.77734375" customWidth="1"/>
    <col min="6" max="6" width="15.77734375" customWidth="1"/>
  </cols>
  <sheetData>
    <row r="1" spans="1:12" ht="31.95" customHeight="1" x14ac:dyDescent="0.3">
      <c r="A1" s="158" t="s">
        <v>1156</v>
      </c>
      <c r="B1" s="143"/>
      <c r="C1" s="143"/>
      <c r="D1" s="143"/>
      <c r="E1" s="143"/>
      <c r="F1" s="143"/>
      <c r="G1" s="2"/>
      <c r="H1" s="2"/>
      <c r="I1" s="2"/>
      <c r="J1" s="2"/>
      <c r="K1" s="2"/>
      <c r="L1" s="2"/>
    </row>
    <row r="2" spans="1:12" ht="25.95" customHeight="1" x14ac:dyDescent="0.3">
      <c r="A2" s="26" t="s">
        <v>801</v>
      </c>
      <c r="B2" s="26" t="s">
        <v>802</v>
      </c>
      <c r="C2" s="26" t="s">
        <v>803</v>
      </c>
      <c r="D2" s="26" t="s">
        <v>804</v>
      </c>
      <c r="E2" s="26" t="s">
        <v>805</v>
      </c>
      <c r="F2" s="26" t="s">
        <v>667</v>
      </c>
    </row>
    <row r="3" spans="1:12" ht="24" customHeight="1" x14ac:dyDescent="0.3">
      <c r="A3" s="96" t="s">
        <v>806</v>
      </c>
      <c r="B3" s="97" t="s">
        <v>668</v>
      </c>
      <c r="C3" s="97" t="s">
        <v>807</v>
      </c>
      <c r="D3" s="97" t="s">
        <v>808</v>
      </c>
      <c r="E3" s="98">
        <v>0</v>
      </c>
      <c r="F3" s="97" t="str">
        <f t="shared" ref="F3:F15" si="0">IF(E3&gt;=0.9,"🟢 Done",IF(E3&gt;=0.5,"🟡 Progress",IF(E3&gt;0,"🔴 Started","⚪ Not Started")))</f>
        <v>⚪ Not Started</v>
      </c>
      <c r="G3" s="2"/>
      <c r="H3" s="2"/>
      <c r="I3" s="2"/>
      <c r="J3" s="2"/>
      <c r="K3" s="2"/>
      <c r="L3" s="2"/>
    </row>
    <row r="4" spans="1:12" ht="24" customHeight="1" x14ac:dyDescent="0.3">
      <c r="A4" s="16" t="s">
        <v>809</v>
      </c>
      <c r="B4" s="16" t="s">
        <v>679</v>
      </c>
      <c r="C4" s="16" t="s">
        <v>810</v>
      </c>
      <c r="D4" s="16" t="s">
        <v>811</v>
      </c>
      <c r="E4" s="64">
        <v>0</v>
      </c>
      <c r="F4" s="16" t="str">
        <f t="shared" si="0"/>
        <v>⚪ Not Started</v>
      </c>
    </row>
    <row r="5" spans="1:12" ht="24" customHeight="1" x14ac:dyDescent="0.3">
      <c r="A5" s="16" t="s">
        <v>812</v>
      </c>
      <c r="B5" s="16" t="s">
        <v>690</v>
      </c>
      <c r="C5" s="16" t="s">
        <v>813</v>
      </c>
      <c r="D5" s="16" t="s">
        <v>814</v>
      </c>
      <c r="E5" s="64">
        <v>0</v>
      </c>
      <c r="F5" s="16" t="str">
        <f t="shared" si="0"/>
        <v>⚪ Not Started</v>
      </c>
    </row>
    <row r="6" spans="1:12" ht="24" customHeight="1" x14ac:dyDescent="0.3">
      <c r="A6" s="16" t="s">
        <v>815</v>
      </c>
      <c r="B6" s="16" t="s">
        <v>816</v>
      </c>
      <c r="C6" s="16" t="s">
        <v>817</v>
      </c>
      <c r="D6" s="16" t="s">
        <v>818</v>
      </c>
      <c r="E6" s="64">
        <v>0</v>
      </c>
      <c r="F6" s="16" t="str">
        <f t="shared" si="0"/>
        <v>⚪ Not Started</v>
      </c>
    </row>
    <row r="7" spans="1:12" ht="24" customHeight="1" x14ac:dyDescent="0.3">
      <c r="A7" s="16" t="s">
        <v>819</v>
      </c>
      <c r="B7" s="16" t="s">
        <v>708</v>
      </c>
      <c r="C7" s="16" t="s">
        <v>820</v>
      </c>
      <c r="D7" s="16" t="s">
        <v>821</v>
      </c>
      <c r="E7" s="64">
        <v>0</v>
      </c>
      <c r="F7" s="16" t="str">
        <f t="shared" si="0"/>
        <v>⚪ Not Started</v>
      </c>
    </row>
    <row r="8" spans="1:12" ht="24" customHeight="1" x14ac:dyDescent="0.3">
      <c r="A8" s="16" t="s">
        <v>822</v>
      </c>
      <c r="B8" s="16" t="s">
        <v>715</v>
      </c>
      <c r="C8" s="16" t="s">
        <v>823</v>
      </c>
      <c r="D8" s="16" t="s">
        <v>824</v>
      </c>
      <c r="E8" s="64">
        <v>0</v>
      </c>
      <c r="F8" s="16" t="str">
        <f t="shared" si="0"/>
        <v>⚪ Not Started</v>
      </c>
    </row>
    <row r="9" spans="1:12" ht="24" customHeight="1" x14ac:dyDescent="0.3">
      <c r="A9" s="16" t="s">
        <v>825</v>
      </c>
      <c r="B9" s="16" t="s">
        <v>724</v>
      </c>
      <c r="C9" s="16" t="s">
        <v>826</v>
      </c>
      <c r="D9" s="16" t="s">
        <v>827</v>
      </c>
      <c r="E9" s="64">
        <v>0</v>
      </c>
      <c r="F9" s="16" t="str">
        <f t="shared" si="0"/>
        <v>⚪ Not Started</v>
      </c>
    </row>
    <row r="10" spans="1:12" ht="24" customHeight="1" x14ac:dyDescent="0.3">
      <c r="A10" s="16" t="s">
        <v>828</v>
      </c>
      <c r="B10" s="16" t="s">
        <v>732</v>
      </c>
      <c r="C10" s="16" t="s">
        <v>829</v>
      </c>
      <c r="D10" s="16" t="s">
        <v>830</v>
      </c>
      <c r="E10" s="64">
        <v>0</v>
      </c>
      <c r="F10" s="16" t="str">
        <f t="shared" si="0"/>
        <v>⚪ Not Started</v>
      </c>
    </row>
    <row r="11" spans="1:12" ht="24" customHeight="1" x14ac:dyDescent="0.3">
      <c r="A11" s="16" t="s">
        <v>831</v>
      </c>
      <c r="B11" s="16" t="s">
        <v>741</v>
      </c>
      <c r="C11" s="16" t="s">
        <v>832</v>
      </c>
      <c r="D11" s="16" t="s">
        <v>833</v>
      </c>
      <c r="E11" s="64">
        <v>0</v>
      </c>
      <c r="F11" s="16" t="str">
        <f t="shared" si="0"/>
        <v>⚪ Not Started</v>
      </c>
    </row>
    <row r="12" spans="1:12" ht="24" customHeight="1" x14ac:dyDescent="0.3">
      <c r="A12" s="16" t="s">
        <v>834</v>
      </c>
      <c r="B12" s="16" t="s">
        <v>748</v>
      </c>
      <c r="C12" s="16" t="s">
        <v>835</v>
      </c>
      <c r="D12" s="16" t="s">
        <v>836</v>
      </c>
      <c r="E12" s="64">
        <v>0</v>
      </c>
      <c r="F12" s="16" t="str">
        <f t="shared" si="0"/>
        <v>⚪ Not Started</v>
      </c>
    </row>
    <row r="13" spans="1:12" ht="24" customHeight="1" x14ac:dyDescent="0.3">
      <c r="A13" s="16" t="s">
        <v>837</v>
      </c>
      <c r="B13" s="16" t="s">
        <v>838</v>
      </c>
      <c r="C13" s="16" t="s">
        <v>839</v>
      </c>
      <c r="D13" s="16" t="s">
        <v>840</v>
      </c>
      <c r="E13" s="64">
        <v>0</v>
      </c>
      <c r="F13" s="16" t="str">
        <f t="shared" si="0"/>
        <v>⚪ Not Started</v>
      </c>
    </row>
    <row r="14" spans="1:12" ht="24" customHeight="1" x14ac:dyDescent="0.3">
      <c r="A14" s="16" t="s">
        <v>841</v>
      </c>
      <c r="B14" s="16" t="s">
        <v>842</v>
      </c>
      <c r="C14" s="16" t="s">
        <v>843</v>
      </c>
      <c r="D14" s="16" t="s">
        <v>844</v>
      </c>
      <c r="E14" s="64">
        <v>0</v>
      </c>
      <c r="F14" s="16" t="str">
        <f t="shared" si="0"/>
        <v>⚪ Not Started</v>
      </c>
    </row>
    <row r="15" spans="1:12" ht="24" customHeight="1" x14ac:dyDescent="0.3">
      <c r="A15" s="16" t="s">
        <v>845</v>
      </c>
      <c r="B15" s="16" t="s">
        <v>846</v>
      </c>
      <c r="C15" s="16" t="s">
        <v>847</v>
      </c>
      <c r="D15" s="16" t="s">
        <v>848</v>
      </c>
      <c r="E15" s="64">
        <v>0</v>
      </c>
      <c r="F15" s="16" t="str">
        <f t="shared" si="0"/>
        <v>⚪ Not Started</v>
      </c>
    </row>
    <row r="16" spans="1:12" ht="24" customHeight="1" x14ac:dyDescent="0.3">
      <c r="A16" s="16"/>
      <c r="B16" s="16"/>
      <c r="C16" s="16"/>
      <c r="D16" s="16"/>
      <c r="E16" s="64"/>
      <c r="F16" s="16"/>
    </row>
  </sheetData>
  <mergeCells count="1"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21BA-DC0E-4741-AC32-E766A3B1D643}">
  <sheetPr codeName="Sheet33"/>
  <dimension ref="A1:L28"/>
  <sheetViews>
    <sheetView workbookViewId="0"/>
  </sheetViews>
  <sheetFormatPr defaultRowHeight="14.4" x14ac:dyDescent="0.3"/>
  <cols>
    <col min="1" max="1" width="6.77734375" customWidth="1"/>
    <col min="2" max="2" width="42.77734375" customWidth="1"/>
    <col min="3" max="4" width="22.77734375" customWidth="1"/>
    <col min="5" max="5" width="12.77734375" customWidth="1"/>
    <col min="6" max="6" width="10.77734375" customWidth="1"/>
  </cols>
  <sheetData>
    <row r="1" spans="1:12" ht="31.95" customHeight="1" x14ac:dyDescent="0.3">
      <c r="A1" s="158" t="s">
        <v>1157</v>
      </c>
      <c r="B1" s="143"/>
      <c r="C1" s="143"/>
      <c r="D1" s="143"/>
      <c r="E1" s="143"/>
      <c r="F1" s="143"/>
      <c r="G1" s="2"/>
      <c r="H1" s="2"/>
      <c r="I1" s="2"/>
      <c r="J1" s="2"/>
      <c r="K1" s="2"/>
      <c r="L1" s="2"/>
    </row>
    <row r="2" spans="1:12" ht="25.95" customHeight="1" x14ac:dyDescent="0.3">
      <c r="A2" s="26" t="s">
        <v>661</v>
      </c>
      <c r="B2" s="26" t="s">
        <v>849</v>
      </c>
      <c r="C2" s="26" t="s">
        <v>850</v>
      </c>
      <c r="D2" s="26" t="s">
        <v>851</v>
      </c>
      <c r="E2" s="26" t="s">
        <v>664</v>
      </c>
      <c r="F2" s="26" t="s">
        <v>852</v>
      </c>
    </row>
    <row r="3" spans="1:12" ht="22.05" customHeight="1" x14ac:dyDescent="0.3">
      <c r="A3" s="96">
        <v>1</v>
      </c>
      <c r="B3" s="97" t="s">
        <v>853</v>
      </c>
      <c r="C3" s="97" t="s">
        <v>854</v>
      </c>
      <c r="D3" s="97" t="s">
        <v>855</v>
      </c>
      <c r="E3" s="97" t="s">
        <v>670</v>
      </c>
      <c r="F3" s="97" t="s">
        <v>155</v>
      </c>
      <c r="G3" s="2"/>
      <c r="H3" s="2"/>
      <c r="I3" s="2"/>
      <c r="J3" s="2"/>
      <c r="K3" s="2"/>
      <c r="L3" s="2"/>
    </row>
    <row r="4" spans="1:12" ht="22.05" customHeight="1" x14ac:dyDescent="0.3">
      <c r="A4" s="16">
        <v>2</v>
      </c>
      <c r="B4" s="38" t="s">
        <v>856</v>
      </c>
      <c r="C4" s="16" t="s">
        <v>857</v>
      </c>
      <c r="D4" s="16" t="s">
        <v>858</v>
      </c>
      <c r="E4" s="16" t="s">
        <v>670</v>
      </c>
      <c r="F4" s="16" t="s">
        <v>155</v>
      </c>
    </row>
    <row r="5" spans="1:12" ht="22.05" customHeight="1" x14ac:dyDescent="0.3">
      <c r="A5" s="16">
        <v>3</v>
      </c>
      <c r="B5" s="38" t="s">
        <v>859</v>
      </c>
      <c r="C5" s="16" t="s">
        <v>860</v>
      </c>
      <c r="D5" s="16" t="s">
        <v>861</v>
      </c>
      <c r="E5" s="16" t="s">
        <v>670</v>
      </c>
      <c r="F5" s="16" t="s">
        <v>155</v>
      </c>
    </row>
    <row r="6" spans="1:12" ht="22.05" customHeight="1" x14ac:dyDescent="0.3">
      <c r="A6" s="16">
        <v>4</v>
      </c>
      <c r="B6" s="38" t="s">
        <v>862</v>
      </c>
      <c r="C6" s="16" t="s">
        <v>863</v>
      </c>
      <c r="D6" s="16" t="s">
        <v>864</v>
      </c>
      <c r="E6" s="16" t="s">
        <v>670</v>
      </c>
      <c r="F6" s="16" t="s">
        <v>155</v>
      </c>
    </row>
    <row r="7" spans="1:12" ht="22.05" customHeight="1" x14ac:dyDescent="0.3">
      <c r="A7" s="16">
        <v>5</v>
      </c>
      <c r="B7" s="38" t="s">
        <v>865</v>
      </c>
      <c r="C7" s="16" t="s">
        <v>866</v>
      </c>
      <c r="D7" s="16" t="s">
        <v>867</v>
      </c>
      <c r="E7" s="16" t="s">
        <v>670</v>
      </c>
      <c r="F7" s="16" t="s">
        <v>155</v>
      </c>
    </row>
    <row r="8" spans="1:12" ht="22.05" customHeight="1" x14ac:dyDescent="0.3">
      <c r="A8" s="16">
        <v>6</v>
      </c>
      <c r="B8" s="38" t="s">
        <v>868</v>
      </c>
      <c r="C8" s="16" t="s">
        <v>869</v>
      </c>
      <c r="D8" s="16" t="s">
        <v>870</v>
      </c>
      <c r="E8" s="16" t="s">
        <v>670</v>
      </c>
      <c r="F8" s="16" t="s">
        <v>155</v>
      </c>
    </row>
    <row r="9" spans="1:12" ht="22.05" customHeight="1" x14ac:dyDescent="0.3">
      <c r="A9" s="16">
        <v>7</v>
      </c>
      <c r="B9" s="38" t="s">
        <v>871</v>
      </c>
      <c r="C9" s="16" t="s">
        <v>869</v>
      </c>
      <c r="D9" s="16" t="s">
        <v>872</v>
      </c>
      <c r="E9" s="16" t="s">
        <v>670</v>
      </c>
      <c r="F9" s="16" t="s">
        <v>155</v>
      </c>
    </row>
    <row r="10" spans="1:12" ht="22.05" customHeight="1" x14ac:dyDescent="0.3">
      <c r="A10" s="16">
        <v>8</v>
      </c>
      <c r="B10" s="38" t="s">
        <v>873</v>
      </c>
      <c r="C10" s="16" t="s">
        <v>874</v>
      </c>
      <c r="D10" s="16" t="s">
        <v>875</v>
      </c>
      <c r="E10" s="16" t="s">
        <v>670</v>
      </c>
      <c r="F10" s="16" t="s">
        <v>155</v>
      </c>
    </row>
    <row r="11" spans="1:12" ht="22.05" customHeight="1" x14ac:dyDescent="0.3">
      <c r="A11" s="16">
        <v>9</v>
      </c>
      <c r="B11" s="38" t="s">
        <v>876</v>
      </c>
      <c r="C11" s="16" t="s">
        <v>877</v>
      </c>
      <c r="D11" s="16" t="s">
        <v>788</v>
      </c>
      <c r="E11" s="16" t="s">
        <v>670</v>
      </c>
      <c r="F11" s="16" t="s">
        <v>155</v>
      </c>
    </row>
    <row r="12" spans="1:12" ht="22.05" customHeight="1" x14ac:dyDescent="0.3">
      <c r="A12" s="16">
        <v>10</v>
      </c>
      <c r="B12" s="38" t="s">
        <v>878</v>
      </c>
      <c r="C12" s="16" t="s">
        <v>879</v>
      </c>
      <c r="D12" s="16" t="s">
        <v>774</v>
      </c>
      <c r="E12" s="16" t="s">
        <v>670</v>
      </c>
      <c r="F12" s="16" t="s">
        <v>155</v>
      </c>
    </row>
    <row r="13" spans="1:12" ht="22.05" customHeight="1" x14ac:dyDescent="0.3">
      <c r="A13" s="16">
        <v>11</v>
      </c>
      <c r="B13" s="38" t="s">
        <v>880</v>
      </c>
      <c r="C13" s="16" t="s">
        <v>881</v>
      </c>
      <c r="D13" s="16" t="s">
        <v>882</v>
      </c>
      <c r="E13" s="16" t="s">
        <v>670</v>
      </c>
      <c r="F13" s="16" t="s">
        <v>155</v>
      </c>
    </row>
    <row r="14" spans="1:12" ht="22.05" customHeight="1" x14ac:dyDescent="0.3">
      <c r="A14" s="16">
        <v>12</v>
      </c>
      <c r="B14" s="38" t="s">
        <v>883</v>
      </c>
      <c r="C14" s="16" t="s">
        <v>884</v>
      </c>
      <c r="D14" s="16" t="s">
        <v>767</v>
      </c>
      <c r="E14" s="16" t="s">
        <v>670</v>
      </c>
      <c r="F14" s="16" t="s">
        <v>155</v>
      </c>
    </row>
    <row r="15" spans="1:12" ht="22.05" customHeight="1" x14ac:dyDescent="0.3">
      <c r="A15" s="16">
        <v>13</v>
      </c>
      <c r="B15" s="38" t="s">
        <v>885</v>
      </c>
      <c r="C15" s="16" t="s">
        <v>886</v>
      </c>
      <c r="D15" s="16" t="s">
        <v>774</v>
      </c>
      <c r="E15" s="16" t="s">
        <v>670</v>
      </c>
      <c r="F15" s="16" t="s">
        <v>155</v>
      </c>
    </row>
    <row r="16" spans="1:12" ht="22.05" customHeight="1" x14ac:dyDescent="0.3">
      <c r="A16" s="16">
        <v>14</v>
      </c>
      <c r="B16" s="38" t="s">
        <v>887</v>
      </c>
      <c r="C16" s="16" t="s">
        <v>888</v>
      </c>
      <c r="D16" s="16" t="s">
        <v>784</v>
      </c>
      <c r="E16" s="16" t="s">
        <v>670</v>
      </c>
      <c r="F16" s="16" t="s">
        <v>155</v>
      </c>
    </row>
    <row r="17" spans="1:6" ht="22.05" customHeight="1" x14ac:dyDescent="0.3">
      <c r="A17" s="16">
        <v>15</v>
      </c>
      <c r="B17" s="38" t="s">
        <v>889</v>
      </c>
      <c r="C17" s="16" t="s">
        <v>890</v>
      </c>
      <c r="D17" s="16" t="s">
        <v>793</v>
      </c>
      <c r="E17" s="16" t="s">
        <v>670</v>
      </c>
      <c r="F17" s="16" t="s">
        <v>155</v>
      </c>
    </row>
    <row r="18" spans="1:6" ht="22.05" customHeight="1" x14ac:dyDescent="0.3">
      <c r="A18" s="16">
        <v>16</v>
      </c>
      <c r="B18" s="38" t="s">
        <v>891</v>
      </c>
      <c r="C18" s="16" t="s">
        <v>892</v>
      </c>
      <c r="D18" s="16" t="s">
        <v>893</v>
      </c>
      <c r="E18" s="16" t="s">
        <v>670</v>
      </c>
      <c r="F18" s="16" t="s">
        <v>155</v>
      </c>
    </row>
    <row r="19" spans="1:6" ht="22.05" customHeight="1" x14ac:dyDescent="0.3">
      <c r="A19" s="16">
        <v>17</v>
      </c>
      <c r="B19" s="38" t="s">
        <v>894</v>
      </c>
      <c r="C19" s="16" t="s">
        <v>866</v>
      </c>
      <c r="D19" s="16" t="s">
        <v>895</v>
      </c>
      <c r="E19" s="16" t="s">
        <v>670</v>
      </c>
      <c r="F19" s="16" t="s">
        <v>155</v>
      </c>
    </row>
    <row r="20" spans="1:6" ht="22.05" customHeight="1" x14ac:dyDescent="0.3">
      <c r="A20" s="16">
        <v>18</v>
      </c>
      <c r="B20" s="38" t="s">
        <v>896</v>
      </c>
      <c r="C20" s="16" t="s">
        <v>897</v>
      </c>
      <c r="D20" s="16" t="s">
        <v>898</v>
      </c>
      <c r="E20" s="16" t="s">
        <v>670</v>
      </c>
      <c r="F20" s="16" t="s">
        <v>155</v>
      </c>
    </row>
    <row r="21" spans="1:6" ht="22.05" customHeight="1" x14ac:dyDescent="0.3">
      <c r="A21" s="16">
        <v>19</v>
      </c>
      <c r="B21" s="38" t="s">
        <v>899</v>
      </c>
      <c r="C21" s="16" t="s">
        <v>900</v>
      </c>
      <c r="D21" s="16" t="s">
        <v>901</v>
      </c>
      <c r="E21" s="16" t="s">
        <v>670</v>
      </c>
      <c r="F21" s="16" t="s">
        <v>155</v>
      </c>
    </row>
    <row r="22" spans="1:6" ht="22.05" customHeight="1" x14ac:dyDescent="0.3">
      <c r="A22" s="16">
        <v>20</v>
      </c>
      <c r="B22" s="38" t="s">
        <v>902</v>
      </c>
      <c r="C22" s="16" t="s">
        <v>903</v>
      </c>
      <c r="D22" s="16" t="s">
        <v>904</v>
      </c>
      <c r="E22" s="16" t="s">
        <v>670</v>
      </c>
      <c r="F22" s="16" t="s">
        <v>155</v>
      </c>
    </row>
    <row r="23" spans="1:6" ht="22.05" customHeight="1" x14ac:dyDescent="0.3">
      <c r="A23" s="16">
        <v>21</v>
      </c>
      <c r="B23" s="38" t="s">
        <v>905</v>
      </c>
      <c r="C23" s="16" t="s">
        <v>906</v>
      </c>
      <c r="D23" s="16" t="s">
        <v>774</v>
      </c>
      <c r="E23" s="16" t="s">
        <v>673</v>
      </c>
      <c r="F23" s="16" t="s">
        <v>155</v>
      </c>
    </row>
    <row r="24" spans="1:6" ht="22.05" customHeight="1" x14ac:dyDescent="0.3">
      <c r="A24" s="16">
        <v>22</v>
      </c>
      <c r="B24" s="38" t="s">
        <v>907</v>
      </c>
      <c r="C24" s="16" t="s">
        <v>908</v>
      </c>
      <c r="D24" s="16" t="s">
        <v>909</v>
      </c>
      <c r="E24" s="16" t="s">
        <v>673</v>
      </c>
      <c r="F24" s="16" t="s">
        <v>155</v>
      </c>
    </row>
    <row r="25" spans="1:6" ht="22.05" customHeight="1" x14ac:dyDescent="0.3">
      <c r="A25" s="16">
        <v>23</v>
      </c>
      <c r="B25" s="38" t="s">
        <v>910</v>
      </c>
      <c r="C25" s="16" t="s">
        <v>911</v>
      </c>
      <c r="D25" s="16" t="s">
        <v>912</v>
      </c>
      <c r="E25" s="16" t="s">
        <v>670</v>
      </c>
      <c r="F25" s="16" t="s">
        <v>155</v>
      </c>
    </row>
    <row r="26" spans="1:6" ht="22.05" customHeight="1" x14ac:dyDescent="0.3">
      <c r="A26" s="16">
        <v>24</v>
      </c>
      <c r="B26" s="38" t="s">
        <v>913</v>
      </c>
      <c r="C26" s="16" t="s">
        <v>914</v>
      </c>
      <c r="D26" s="16" t="s">
        <v>915</v>
      </c>
      <c r="E26" s="16" t="s">
        <v>670</v>
      </c>
      <c r="F26" s="16" t="s">
        <v>155</v>
      </c>
    </row>
    <row r="27" spans="1:6" ht="22.05" customHeight="1" x14ac:dyDescent="0.3">
      <c r="A27" s="16">
        <v>25</v>
      </c>
      <c r="B27" s="38" t="s">
        <v>916</v>
      </c>
      <c r="C27" s="16" t="s">
        <v>917</v>
      </c>
      <c r="D27" s="16" t="s">
        <v>918</v>
      </c>
      <c r="E27" s="16" t="s">
        <v>673</v>
      </c>
      <c r="F27" s="16" t="s">
        <v>155</v>
      </c>
    </row>
    <row r="28" spans="1:6" ht="22.05" customHeight="1" x14ac:dyDescent="0.3">
      <c r="A28" s="16"/>
      <c r="B28" s="38"/>
      <c r="C28" s="16"/>
      <c r="D28" s="16"/>
      <c r="E28" s="16"/>
      <c r="F28" s="16"/>
    </row>
  </sheetData>
  <mergeCells count="1">
    <mergeCell ref="A1: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60D1-0116-434C-AF1B-E7DF68755B78}">
  <sheetPr codeName="Sheet34"/>
  <dimension ref="A1:L12"/>
  <sheetViews>
    <sheetView workbookViewId="0"/>
  </sheetViews>
  <sheetFormatPr defaultRowHeight="14.4" x14ac:dyDescent="0.3"/>
  <cols>
    <col min="1" max="1" width="40.77734375" customWidth="1"/>
    <col min="2" max="4" width="25.77734375" customWidth="1"/>
  </cols>
  <sheetData>
    <row r="1" spans="1:12" ht="31.95" customHeight="1" x14ac:dyDescent="0.3">
      <c r="A1" s="158" t="s">
        <v>1158</v>
      </c>
      <c r="B1" s="143"/>
      <c r="C1" s="143"/>
      <c r="D1" s="143"/>
      <c r="E1" s="2"/>
      <c r="F1" s="2"/>
      <c r="G1" s="2"/>
      <c r="H1" s="2"/>
      <c r="I1" s="2"/>
      <c r="J1" s="2"/>
      <c r="K1" s="2"/>
      <c r="L1" s="2"/>
    </row>
    <row r="3" spans="1:12" ht="40.049999999999997" customHeight="1" x14ac:dyDescent="0.3">
      <c r="A3" s="99" t="s">
        <v>919</v>
      </c>
      <c r="B3" s="159"/>
      <c r="C3" s="159"/>
      <c r="D3" s="159"/>
      <c r="E3" s="2"/>
      <c r="F3" s="2"/>
      <c r="G3" s="2"/>
      <c r="H3" s="2"/>
      <c r="I3" s="2"/>
      <c r="J3" s="2"/>
      <c r="K3" s="2"/>
      <c r="L3" s="2"/>
    </row>
    <row r="4" spans="1:12" ht="40.049999999999997" customHeight="1" x14ac:dyDescent="0.3">
      <c r="A4" s="100" t="s">
        <v>920</v>
      </c>
      <c r="B4" s="151"/>
      <c r="C4" s="151"/>
      <c r="D4" s="151"/>
    </row>
    <row r="5" spans="1:12" ht="40.049999999999997" customHeight="1" x14ac:dyDescent="0.3">
      <c r="A5" s="100" t="s">
        <v>921</v>
      </c>
      <c r="B5" s="151"/>
      <c r="C5" s="151"/>
      <c r="D5" s="151"/>
    </row>
    <row r="6" spans="1:12" ht="40.049999999999997" customHeight="1" x14ac:dyDescent="0.3">
      <c r="A6" s="100" t="s">
        <v>216</v>
      </c>
      <c r="B6" s="151"/>
      <c r="C6" s="151"/>
      <c r="D6" s="151"/>
    </row>
    <row r="7" spans="1:12" ht="40.049999999999997" customHeight="1" x14ac:dyDescent="0.3">
      <c r="A7" s="100" t="s">
        <v>922</v>
      </c>
      <c r="B7" s="151"/>
      <c r="C7" s="151"/>
      <c r="D7" s="151"/>
    </row>
    <row r="8" spans="1:12" ht="40.049999999999997" customHeight="1" x14ac:dyDescent="0.3">
      <c r="A8" s="100" t="s">
        <v>923</v>
      </c>
      <c r="B8" s="151"/>
      <c r="C8" s="151"/>
      <c r="D8" s="151"/>
    </row>
    <row r="9" spans="1:12" ht="40.049999999999997" customHeight="1" x14ac:dyDescent="0.3">
      <c r="A9" s="100" t="s">
        <v>924</v>
      </c>
      <c r="B9" s="151"/>
      <c r="C9" s="151"/>
      <c r="D9" s="151"/>
    </row>
    <row r="10" spans="1:12" ht="40.049999999999997" customHeight="1" x14ac:dyDescent="0.3">
      <c r="A10" s="100" t="s">
        <v>925</v>
      </c>
      <c r="B10" s="151"/>
      <c r="C10" s="151"/>
      <c r="D10" s="151"/>
    </row>
    <row r="11" spans="1:12" ht="40.049999999999997" customHeight="1" x14ac:dyDescent="0.3">
      <c r="A11" s="100" t="s">
        <v>926</v>
      </c>
      <c r="B11" s="151"/>
      <c r="C11" s="151"/>
      <c r="D11" s="151"/>
    </row>
    <row r="12" spans="1:12" ht="40.049999999999997" customHeight="1" x14ac:dyDescent="0.3">
      <c r="A12" s="100" t="s">
        <v>927</v>
      </c>
      <c r="B12" s="151"/>
      <c r="C12" s="151"/>
      <c r="D12" s="151"/>
    </row>
  </sheetData>
  <mergeCells count="11">
    <mergeCell ref="B3:D3"/>
    <mergeCell ref="B4:D4"/>
    <mergeCell ref="B5:D5"/>
    <mergeCell ref="B11:D11"/>
    <mergeCell ref="A1:D1"/>
    <mergeCell ref="B12:D12"/>
    <mergeCell ref="B6:D6"/>
    <mergeCell ref="B7:D7"/>
    <mergeCell ref="B8:D8"/>
    <mergeCell ref="B9:D9"/>
    <mergeCell ref="B10:D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B40E-19E3-4E80-B679-24DEE6E2E9A6}">
  <sheetPr codeName="Sheet35"/>
  <dimension ref="A1:L17"/>
  <sheetViews>
    <sheetView workbookViewId="0"/>
  </sheetViews>
  <sheetFormatPr defaultRowHeight="14.4" x14ac:dyDescent="0.3"/>
  <cols>
    <col min="1" max="1" width="55.77734375" customWidth="1"/>
    <col min="2" max="2" width="8.77734375" customWidth="1"/>
  </cols>
  <sheetData>
    <row r="1" spans="1:12" ht="31.95" customHeight="1" x14ac:dyDescent="0.3">
      <c r="A1" s="158" t="s">
        <v>1159</v>
      </c>
      <c r="B1" s="143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ht="28.05" customHeight="1" x14ac:dyDescent="0.3">
      <c r="A3" s="75" t="s">
        <v>928</v>
      </c>
      <c r="B3" s="76" t="s">
        <v>155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8.05" customHeight="1" x14ac:dyDescent="0.3">
      <c r="A4" s="65" t="s">
        <v>929</v>
      </c>
      <c r="B4" s="66" t="s">
        <v>155</v>
      </c>
    </row>
    <row r="5" spans="1:12" ht="28.05" customHeight="1" x14ac:dyDescent="0.3">
      <c r="A5" s="65" t="s">
        <v>930</v>
      </c>
      <c r="B5" s="66" t="s">
        <v>155</v>
      </c>
    </row>
    <row r="6" spans="1:12" ht="28.05" customHeight="1" x14ac:dyDescent="0.3">
      <c r="A6" s="65" t="s">
        <v>931</v>
      </c>
      <c r="B6" s="66" t="s">
        <v>155</v>
      </c>
    </row>
    <row r="7" spans="1:12" ht="28.05" customHeight="1" x14ac:dyDescent="0.3">
      <c r="A7" s="65" t="s">
        <v>932</v>
      </c>
      <c r="B7" s="66" t="s">
        <v>155</v>
      </c>
    </row>
    <row r="8" spans="1:12" ht="28.05" customHeight="1" x14ac:dyDescent="0.3">
      <c r="A8" s="65" t="s">
        <v>933</v>
      </c>
      <c r="B8" s="66" t="s">
        <v>155</v>
      </c>
    </row>
    <row r="9" spans="1:12" ht="28.05" customHeight="1" x14ac:dyDescent="0.3">
      <c r="A9" s="65" t="s">
        <v>934</v>
      </c>
      <c r="B9" s="66" t="s">
        <v>155</v>
      </c>
    </row>
    <row r="10" spans="1:12" ht="28.05" customHeight="1" x14ac:dyDescent="0.3">
      <c r="A10" s="65" t="s">
        <v>935</v>
      </c>
      <c r="B10" s="66" t="s">
        <v>155</v>
      </c>
    </row>
    <row r="11" spans="1:12" ht="28.05" customHeight="1" x14ac:dyDescent="0.3">
      <c r="A11" s="65" t="s">
        <v>936</v>
      </c>
      <c r="B11" s="66" t="s">
        <v>155</v>
      </c>
    </row>
    <row r="12" spans="1:12" ht="28.05" customHeight="1" x14ac:dyDescent="0.3">
      <c r="A12" s="65" t="s">
        <v>937</v>
      </c>
      <c r="B12" s="66" t="s">
        <v>155</v>
      </c>
    </row>
    <row r="13" spans="1:12" ht="28.05" customHeight="1" x14ac:dyDescent="0.3">
      <c r="A13" s="65" t="s">
        <v>938</v>
      </c>
      <c r="B13" s="66" t="s">
        <v>155</v>
      </c>
    </row>
    <row r="14" spans="1:12" ht="28.05" customHeight="1" x14ac:dyDescent="0.3">
      <c r="A14" s="65" t="s">
        <v>939</v>
      </c>
      <c r="B14" s="66" t="s">
        <v>155</v>
      </c>
    </row>
    <row r="15" spans="1:12" ht="28.05" customHeight="1" x14ac:dyDescent="0.3">
      <c r="A15" s="65" t="s">
        <v>940</v>
      </c>
      <c r="B15" s="66" t="s">
        <v>155</v>
      </c>
    </row>
    <row r="16" spans="1:12" ht="28.05" customHeight="1" x14ac:dyDescent="0.3">
      <c r="A16" s="65" t="s">
        <v>941</v>
      </c>
      <c r="B16" s="66" t="s">
        <v>155</v>
      </c>
    </row>
    <row r="17" spans="1:2" ht="28.05" customHeight="1" x14ac:dyDescent="0.3">
      <c r="A17" s="65" t="s">
        <v>942</v>
      </c>
      <c r="B17" s="66" t="s">
        <v>155</v>
      </c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7070-7D6E-4C77-A69A-F37A967D427B}">
  <sheetPr codeName="Sheet36"/>
  <dimension ref="A1:L60"/>
  <sheetViews>
    <sheetView workbookViewId="0"/>
  </sheetViews>
  <sheetFormatPr defaultRowHeight="14.4" x14ac:dyDescent="0.3"/>
  <cols>
    <col min="1" max="1" width="3.77734375" customWidth="1"/>
    <col min="2" max="10" width="12.77734375" customWidth="1"/>
    <col min="11" max="12" width="3.77734375" customWidth="1"/>
  </cols>
  <sheetData>
    <row r="1" spans="1:12" ht="34.950000000000003" customHeight="1" x14ac:dyDescent="0.3">
      <c r="A1" s="71" t="s">
        <v>943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2" x14ac:dyDescent="0.3">
      <c r="A2" s="72" t="s">
        <v>134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30" customHeight="1" x14ac:dyDescent="0.3">
      <c r="A3" s="69"/>
      <c r="B3" s="68"/>
      <c r="C3" s="68"/>
      <c r="D3" s="68"/>
      <c r="E3" s="68"/>
      <c r="F3" s="68"/>
      <c r="G3" s="161" t="s">
        <v>944</v>
      </c>
      <c r="H3" s="161"/>
      <c r="I3" s="161"/>
      <c r="J3" s="161"/>
      <c r="K3" s="68"/>
      <c r="L3" s="68"/>
    </row>
    <row r="4" spans="1:12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34.950000000000003" customHeight="1" x14ac:dyDescent="0.4">
      <c r="A5" s="67"/>
      <c r="B5" s="162" t="s">
        <v>945</v>
      </c>
      <c r="C5" s="162"/>
      <c r="D5" s="162"/>
      <c r="E5" s="162"/>
      <c r="F5" s="162"/>
      <c r="G5" s="162"/>
      <c r="H5" s="162"/>
      <c r="I5" s="162"/>
      <c r="J5" s="162"/>
      <c r="K5" s="67"/>
      <c r="L5" s="67"/>
    </row>
    <row r="6" spans="1:12" x14ac:dyDescent="0.3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1:12" ht="22.05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</row>
    <row r="8" spans="1:12" ht="22.05" customHeight="1" x14ac:dyDescent="0.3">
      <c r="A8" s="67"/>
      <c r="B8" s="74"/>
      <c r="C8" s="74"/>
      <c r="D8" s="74"/>
      <c r="E8" s="74"/>
      <c r="F8" s="74"/>
      <c r="G8" s="74"/>
      <c r="H8" s="74"/>
      <c r="I8" s="74"/>
      <c r="J8" s="74"/>
      <c r="K8" s="67"/>
      <c r="L8" s="67"/>
    </row>
    <row r="9" spans="1:12" ht="22.05" customHeight="1" x14ac:dyDescent="0.3">
      <c r="A9" s="67"/>
      <c r="B9" s="74"/>
      <c r="C9" s="74"/>
      <c r="D9" s="74"/>
      <c r="E9" s="74"/>
      <c r="F9" s="74"/>
      <c r="G9" s="74"/>
      <c r="H9" s="74"/>
      <c r="I9" s="74"/>
      <c r="J9" s="74"/>
      <c r="K9" s="67"/>
      <c r="L9" s="67"/>
    </row>
    <row r="10" spans="1:12" ht="22.05" customHeight="1" x14ac:dyDescent="0.3">
      <c r="A10" s="67"/>
      <c r="B10" s="74"/>
      <c r="C10" s="74"/>
      <c r="D10" s="74"/>
      <c r="E10" s="74"/>
      <c r="F10" s="74"/>
      <c r="G10" s="74"/>
      <c r="H10" s="74"/>
      <c r="I10" s="74"/>
      <c r="J10" s="74"/>
      <c r="K10" s="67"/>
      <c r="L10" s="67"/>
    </row>
    <row r="11" spans="1:12" ht="22.05" customHeight="1" x14ac:dyDescent="0.3">
      <c r="A11" s="67"/>
      <c r="B11" s="74"/>
      <c r="C11" s="74"/>
      <c r="D11" s="74"/>
      <c r="E11" s="74"/>
      <c r="F11" s="74"/>
      <c r="G11" s="74"/>
      <c r="H11" s="74"/>
      <c r="I11" s="74"/>
      <c r="J11" s="74"/>
      <c r="K11" s="67"/>
      <c r="L11" s="67"/>
    </row>
    <row r="12" spans="1:12" ht="22.05" customHeight="1" x14ac:dyDescent="0.3">
      <c r="A12" s="67"/>
      <c r="B12" s="74"/>
      <c r="C12" s="74"/>
      <c r="D12" s="74"/>
      <c r="E12" s="74"/>
      <c r="F12" s="74"/>
      <c r="G12" s="74"/>
      <c r="H12" s="74"/>
      <c r="I12" s="74"/>
      <c r="J12" s="74"/>
      <c r="K12" s="67"/>
      <c r="L12" s="67"/>
    </row>
    <row r="13" spans="1:12" ht="22.05" customHeight="1" x14ac:dyDescent="0.3">
      <c r="A13" s="67"/>
      <c r="B13" s="74"/>
      <c r="C13" s="74"/>
      <c r="D13" s="74"/>
      <c r="E13" s="74"/>
      <c r="F13" s="74"/>
      <c r="G13" s="74"/>
      <c r="H13" s="74"/>
      <c r="I13" s="74"/>
      <c r="J13" s="74"/>
      <c r="K13" s="67"/>
      <c r="L13" s="67"/>
    </row>
    <row r="14" spans="1:12" ht="22.05" customHeight="1" x14ac:dyDescent="0.3">
      <c r="A14" s="67"/>
      <c r="B14" s="74"/>
      <c r="C14" s="74"/>
      <c r="D14" s="74"/>
      <c r="E14" s="74"/>
      <c r="F14" s="74"/>
      <c r="G14" s="74"/>
      <c r="H14" s="74"/>
      <c r="I14" s="74"/>
      <c r="J14" s="74"/>
      <c r="K14" s="67"/>
      <c r="L14" s="67"/>
    </row>
    <row r="15" spans="1:12" ht="22.05" customHeight="1" x14ac:dyDescent="0.3">
      <c r="A15" s="67"/>
      <c r="B15" s="74"/>
      <c r="C15" s="74"/>
      <c r="D15" s="74"/>
      <c r="E15" s="74"/>
      <c r="F15" s="74"/>
      <c r="G15" s="74"/>
      <c r="H15" s="74"/>
      <c r="I15" s="74"/>
      <c r="J15" s="74"/>
      <c r="K15" s="67"/>
      <c r="L15" s="67"/>
    </row>
    <row r="16" spans="1:12" ht="22.05" customHeight="1" x14ac:dyDescent="0.3">
      <c r="A16" s="67"/>
      <c r="B16" s="74"/>
      <c r="C16" s="74"/>
      <c r="D16" s="74"/>
      <c r="E16" s="74"/>
      <c r="F16" s="74"/>
      <c r="G16" s="74"/>
      <c r="H16" s="74"/>
      <c r="I16" s="74"/>
      <c r="J16" s="74"/>
      <c r="K16" s="67"/>
      <c r="L16" s="67"/>
    </row>
    <row r="17" spans="1:12" ht="22.05" customHeight="1" x14ac:dyDescent="0.3">
      <c r="A17" s="67"/>
      <c r="B17" s="74"/>
      <c r="C17" s="74"/>
      <c r="D17" s="74"/>
      <c r="E17" s="74"/>
      <c r="F17" s="74"/>
      <c r="G17" s="74"/>
      <c r="H17" s="74"/>
      <c r="I17" s="74"/>
      <c r="J17" s="74"/>
      <c r="K17" s="67"/>
      <c r="L17" s="67"/>
    </row>
    <row r="18" spans="1:12" ht="22.05" customHeight="1" x14ac:dyDescent="0.3">
      <c r="A18" s="67"/>
      <c r="B18" s="74"/>
      <c r="C18" s="74"/>
      <c r="D18" s="74"/>
      <c r="E18" s="74"/>
      <c r="F18" s="74"/>
      <c r="G18" s="74"/>
      <c r="H18" s="74"/>
      <c r="I18" s="74"/>
      <c r="J18" s="74"/>
      <c r="K18" s="67"/>
      <c r="L18" s="67"/>
    </row>
    <row r="19" spans="1:12" ht="22.05" customHeight="1" x14ac:dyDescent="0.3">
      <c r="A19" s="67"/>
      <c r="B19" s="74"/>
      <c r="C19" s="74"/>
      <c r="D19" s="74"/>
      <c r="E19" s="74"/>
      <c r="F19" s="74"/>
      <c r="G19" s="74"/>
      <c r="H19" s="74"/>
      <c r="I19" s="74"/>
      <c r="J19" s="74"/>
      <c r="K19" s="67"/>
      <c r="L19" s="67"/>
    </row>
    <row r="20" spans="1:12" ht="22.05" customHeight="1" x14ac:dyDescent="0.3">
      <c r="A20" s="67"/>
      <c r="B20" s="74"/>
      <c r="C20" s="74"/>
      <c r="D20" s="74"/>
      <c r="E20" s="74"/>
      <c r="F20" s="74"/>
      <c r="G20" s="74"/>
      <c r="H20" s="74"/>
      <c r="I20" s="74"/>
      <c r="J20" s="74"/>
      <c r="K20" s="67"/>
      <c r="L20" s="67"/>
    </row>
    <row r="21" spans="1:12" ht="22.05" customHeight="1" x14ac:dyDescent="0.3">
      <c r="A21" s="67"/>
      <c r="B21" s="74"/>
      <c r="C21" s="74"/>
      <c r="D21" s="74"/>
      <c r="E21" s="74"/>
      <c r="F21" s="74"/>
      <c r="G21" s="74"/>
      <c r="H21" s="74"/>
      <c r="I21" s="74"/>
      <c r="J21" s="74"/>
      <c r="K21" s="67"/>
      <c r="L21" s="67"/>
    </row>
    <row r="22" spans="1:12" ht="22.05" customHeight="1" x14ac:dyDescent="0.3">
      <c r="A22" s="67"/>
      <c r="B22" s="74"/>
      <c r="C22" s="74"/>
      <c r="D22" s="74"/>
      <c r="E22" s="74"/>
      <c r="F22" s="74"/>
      <c r="G22" s="74"/>
      <c r="H22" s="74"/>
      <c r="I22" s="74"/>
      <c r="J22" s="74"/>
      <c r="K22" s="67"/>
      <c r="L22" s="67"/>
    </row>
    <row r="23" spans="1:12" ht="22.05" customHeight="1" x14ac:dyDescent="0.3">
      <c r="A23" s="67"/>
      <c r="B23" s="74"/>
      <c r="C23" s="74"/>
      <c r="D23" s="74"/>
      <c r="E23" s="74"/>
      <c r="F23" s="74"/>
      <c r="G23" s="74"/>
      <c r="H23" s="74"/>
      <c r="I23" s="74"/>
      <c r="J23" s="74"/>
      <c r="K23" s="67"/>
      <c r="L23" s="67"/>
    </row>
    <row r="24" spans="1:12" ht="22.05" customHeight="1" x14ac:dyDescent="0.3">
      <c r="A24" s="67"/>
      <c r="B24" s="74"/>
      <c r="C24" s="74"/>
      <c r="D24" s="74"/>
      <c r="E24" s="74"/>
      <c r="F24" s="74"/>
      <c r="G24" s="74"/>
      <c r="H24" s="74"/>
      <c r="I24" s="74"/>
      <c r="J24" s="74"/>
      <c r="K24" s="67"/>
      <c r="L24" s="67"/>
    </row>
    <row r="25" spans="1:12" ht="22.05" customHeight="1" x14ac:dyDescent="0.3">
      <c r="A25" s="67"/>
      <c r="B25" s="74"/>
      <c r="C25" s="74"/>
      <c r="D25" s="74"/>
      <c r="E25" s="74"/>
      <c r="F25" s="74"/>
      <c r="G25" s="74"/>
      <c r="H25" s="74"/>
      <c r="I25" s="74"/>
      <c r="J25" s="74"/>
      <c r="K25" s="67"/>
      <c r="L25" s="67"/>
    </row>
    <row r="26" spans="1:12" ht="22.05" customHeight="1" x14ac:dyDescent="0.3">
      <c r="A26" s="67"/>
      <c r="B26" s="74"/>
      <c r="C26" s="74"/>
      <c r="D26" s="74"/>
      <c r="E26" s="74"/>
      <c r="F26" s="74"/>
      <c r="G26" s="74"/>
      <c r="H26" s="74"/>
      <c r="I26" s="74"/>
      <c r="J26" s="74"/>
      <c r="K26" s="67"/>
      <c r="L26" s="67"/>
    </row>
    <row r="27" spans="1:12" ht="22.05" customHeight="1" x14ac:dyDescent="0.3">
      <c r="A27" s="67"/>
      <c r="B27" s="74"/>
      <c r="C27" s="74"/>
      <c r="D27" s="74"/>
      <c r="E27" s="74"/>
      <c r="F27" s="74"/>
      <c r="G27" s="74"/>
      <c r="H27" s="74"/>
      <c r="I27" s="74"/>
      <c r="J27" s="74"/>
      <c r="K27" s="67"/>
      <c r="L27" s="67"/>
    </row>
    <row r="28" spans="1:12" ht="22.05" customHeight="1" x14ac:dyDescent="0.3">
      <c r="A28" s="67"/>
      <c r="B28" s="74"/>
      <c r="C28" s="74"/>
      <c r="D28" s="74"/>
      <c r="E28" s="74"/>
      <c r="F28" s="74"/>
      <c r="G28" s="74"/>
      <c r="H28" s="74"/>
      <c r="I28" s="74"/>
      <c r="J28" s="74"/>
      <c r="K28" s="67"/>
      <c r="L28" s="67"/>
    </row>
    <row r="29" spans="1:12" ht="22.05" customHeight="1" x14ac:dyDescent="0.3">
      <c r="A29" s="67"/>
      <c r="B29" s="74"/>
      <c r="C29" s="74"/>
      <c r="D29" s="74"/>
      <c r="E29" s="74"/>
      <c r="F29" s="74"/>
      <c r="G29" s="74"/>
      <c r="H29" s="74"/>
      <c r="I29" s="74"/>
      <c r="J29" s="74"/>
      <c r="K29" s="67"/>
      <c r="L29" s="67"/>
    </row>
    <row r="30" spans="1:12" ht="22.05" customHeight="1" x14ac:dyDescent="0.3">
      <c r="A30" s="67"/>
      <c r="B30" s="74"/>
      <c r="C30" s="74"/>
      <c r="D30" s="74"/>
      <c r="E30" s="74"/>
      <c r="F30" s="74"/>
      <c r="G30" s="74"/>
      <c r="H30" s="74"/>
      <c r="I30" s="74"/>
      <c r="J30" s="74"/>
      <c r="K30" s="67"/>
      <c r="L30" s="67"/>
    </row>
    <row r="31" spans="1:12" ht="22.05" customHeight="1" x14ac:dyDescent="0.3">
      <c r="A31" s="67"/>
      <c r="B31" s="74"/>
      <c r="C31" s="74"/>
      <c r="D31" s="74"/>
      <c r="E31" s="74"/>
      <c r="F31" s="74"/>
      <c r="G31" s="74"/>
      <c r="H31" s="74"/>
      <c r="I31" s="74"/>
      <c r="J31" s="74"/>
      <c r="K31" s="67"/>
      <c r="L31" s="67"/>
    </row>
    <row r="32" spans="1:12" ht="22.05" customHeight="1" x14ac:dyDescent="0.3">
      <c r="A32" s="67"/>
      <c r="B32" s="74"/>
      <c r="C32" s="74"/>
      <c r="D32" s="74"/>
      <c r="E32" s="74"/>
      <c r="F32" s="74"/>
      <c r="G32" s="74"/>
      <c r="H32" s="74"/>
      <c r="I32" s="74"/>
      <c r="J32" s="74"/>
      <c r="K32" s="67"/>
      <c r="L32" s="67"/>
    </row>
    <row r="33" spans="1:12" ht="22.05" customHeight="1" x14ac:dyDescent="0.3">
      <c r="A33" s="67"/>
      <c r="B33" s="74"/>
      <c r="C33" s="74"/>
      <c r="D33" s="74"/>
      <c r="E33" s="74"/>
      <c r="F33" s="74"/>
      <c r="G33" s="74"/>
      <c r="H33" s="74"/>
      <c r="I33" s="74"/>
      <c r="J33" s="74"/>
      <c r="K33" s="67"/>
      <c r="L33" s="67"/>
    </row>
    <row r="34" spans="1:12" ht="22.05" customHeight="1" x14ac:dyDescent="0.3">
      <c r="A34" s="67"/>
      <c r="B34" s="74"/>
      <c r="C34" s="74"/>
      <c r="D34" s="74"/>
      <c r="E34" s="74"/>
      <c r="F34" s="74"/>
      <c r="G34" s="74"/>
      <c r="H34" s="74"/>
      <c r="I34" s="74"/>
      <c r="J34" s="74"/>
      <c r="K34" s="67"/>
      <c r="L34" s="67"/>
    </row>
    <row r="35" spans="1:12" ht="22.05" customHeight="1" x14ac:dyDescent="0.3">
      <c r="A35" s="67"/>
      <c r="B35" s="74"/>
      <c r="C35" s="74"/>
      <c r="D35" s="74"/>
      <c r="E35" s="74"/>
      <c r="F35" s="74"/>
      <c r="G35" s="74"/>
      <c r="H35" s="74"/>
      <c r="I35" s="74"/>
      <c r="J35" s="74"/>
      <c r="K35" s="67"/>
      <c r="L35" s="67"/>
    </row>
    <row r="36" spans="1:12" ht="22.05" customHeight="1" x14ac:dyDescent="0.3">
      <c r="A36" s="67"/>
      <c r="B36" s="74"/>
      <c r="C36" s="74"/>
      <c r="D36" s="74"/>
      <c r="E36" s="74"/>
      <c r="F36" s="74"/>
      <c r="G36" s="74"/>
      <c r="H36" s="74"/>
      <c r="I36" s="74"/>
      <c r="J36" s="74"/>
      <c r="K36" s="67"/>
      <c r="L36" s="67"/>
    </row>
    <row r="37" spans="1:12" ht="22.05" customHeight="1" x14ac:dyDescent="0.3">
      <c r="A37" s="67"/>
      <c r="B37" s="74"/>
      <c r="C37" s="74"/>
      <c r="D37" s="74"/>
      <c r="E37" s="74"/>
      <c r="F37" s="74"/>
      <c r="G37" s="74"/>
      <c r="H37" s="74"/>
      <c r="I37" s="74"/>
      <c r="J37" s="74"/>
      <c r="K37" s="67"/>
      <c r="L37" s="67"/>
    </row>
    <row r="38" spans="1:12" ht="22.05" customHeight="1" x14ac:dyDescent="0.3">
      <c r="A38" s="67"/>
      <c r="B38" s="74"/>
      <c r="C38" s="74"/>
      <c r="D38" s="74"/>
      <c r="E38" s="74"/>
      <c r="F38" s="74"/>
      <c r="G38" s="74"/>
      <c r="H38" s="74"/>
      <c r="I38" s="74"/>
      <c r="J38" s="74"/>
      <c r="K38" s="67"/>
      <c r="L38" s="67"/>
    </row>
    <row r="39" spans="1:12" ht="22.05" customHeight="1" x14ac:dyDescent="0.3">
      <c r="A39" s="67"/>
      <c r="B39" s="74"/>
      <c r="C39" s="74"/>
      <c r="D39" s="74"/>
      <c r="E39" s="74"/>
      <c r="F39" s="74"/>
      <c r="G39" s="74"/>
      <c r="H39" s="74"/>
      <c r="I39" s="74"/>
      <c r="J39" s="74"/>
      <c r="K39" s="67"/>
      <c r="L39" s="67"/>
    </row>
    <row r="40" spans="1:12" ht="22.05" customHeight="1" x14ac:dyDescent="0.3">
      <c r="A40" s="67"/>
      <c r="B40" s="74"/>
      <c r="C40" s="74"/>
      <c r="D40" s="74"/>
      <c r="E40" s="74"/>
      <c r="F40" s="74"/>
      <c r="G40" s="74"/>
      <c r="H40" s="74"/>
      <c r="I40" s="74"/>
      <c r="J40" s="74"/>
      <c r="K40" s="67"/>
      <c r="L40" s="67"/>
    </row>
    <row r="41" spans="1:12" ht="22.05" customHeight="1" x14ac:dyDescent="0.3">
      <c r="A41" s="67"/>
      <c r="B41" s="74"/>
      <c r="C41" s="74"/>
      <c r="D41" s="74"/>
      <c r="E41" s="74"/>
      <c r="F41" s="74"/>
      <c r="G41" s="74"/>
      <c r="H41" s="74"/>
      <c r="I41" s="74"/>
      <c r="J41" s="74"/>
      <c r="K41" s="67"/>
      <c r="L41" s="67"/>
    </row>
    <row r="42" spans="1:12" ht="22.05" customHeight="1" x14ac:dyDescent="0.3">
      <c r="A42" s="67"/>
      <c r="B42" s="74"/>
      <c r="C42" s="74"/>
      <c r="D42" s="74"/>
      <c r="E42" s="74"/>
      <c r="F42" s="74"/>
      <c r="G42" s="74"/>
      <c r="H42" s="74"/>
      <c r="I42" s="74"/>
      <c r="J42" s="74"/>
      <c r="K42" s="67"/>
      <c r="L42" s="67"/>
    </row>
    <row r="43" spans="1:12" ht="22.05" customHeight="1" x14ac:dyDescent="0.3">
      <c r="A43" s="67"/>
      <c r="B43" s="74"/>
      <c r="C43" s="74"/>
      <c r="D43" s="74"/>
      <c r="E43" s="74"/>
      <c r="F43" s="74"/>
      <c r="G43" s="74"/>
      <c r="H43" s="74"/>
      <c r="I43" s="74"/>
      <c r="J43" s="74"/>
      <c r="K43" s="67"/>
      <c r="L43" s="67"/>
    </row>
    <row r="44" spans="1:12" ht="22.05" customHeight="1" x14ac:dyDescent="0.3">
      <c r="A44" s="67"/>
      <c r="B44" s="74"/>
      <c r="C44" s="74"/>
      <c r="D44" s="74"/>
      <c r="E44" s="74"/>
      <c r="F44" s="74"/>
      <c r="G44" s="74"/>
      <c r="H44" s="74"/>
      <c r="I44" s="74"/>
      <c r="J44" s="74"/>
      <c r="K44" s="67"/>
      <c r="L44" s="67"/>
    </row>
    <row r="45" spans="1:12" ht="22.05" customHeight="1" x14ac:dyDescent="0.3">
      <c r="A45" s="67"/>
      <c r="B45" s="74"/>
      <c r="C45" s="74"/>
      <c r="D45" s="74"/>
      <c r="E45" s="74"/>
      <c r="F45" s="74"/>
      <c r="G45" s="74"/>
      <c r="H45" s="74"/>
      <c r="I45" s="74"/>
      <c r="J45" s="74"/>
      <c r="K45" s="67"/>
      <c r="L45" s="67"/>
    </row>
    <row r="46" spans="1:12" ht="22.05" customHeight="1" x14ac:dyDescent="0.3">
      <c r="A46" s="67"/>
      <c r="B46" s="74"/>
      <c r="C46" s="74"/>
      <c r="D46" s="74"/>
      <c r="E46" s="74"/>
      <c r="F46" s="74"/>
      <c r="G46" s="74"/>
      <c r="H46" s="74"/>
      <c r="I46" s="74"/>
      <c r="J46" s="74"/>
      <c r="K46" s="67"/>
      <c r="L46" s="67"/>
    </row>
    <row r="47" spans="1:12" ht="22.05" customHeight="1" x14ac:dyDescent="0.3">
      <c r="A47" s="67"/>
      <c r="B47" s="74"/>
      <c r="C47" s="74"/>
      <c r="D47" s="74"/>
      <c r="E47" s="74"/>
      <c r="F47" s="74"/>
      <c r="G47" s="74"/>
      <c r="H47" s="74"/>
      <c r="I47" s="74"/>
      <c r="J47" s="74"/>
      <c r="K47" s="67"/>
      <c r="L47" s="67"/>
    </row>
    <row r="48" spans="1:12" ht="22.05" customHeight="1" x14ac:dyDescent="0.3">
      <c r="A48" s="67"/>
      <c r="B48" s="74"/>
      <c r="C48" s="74"/>
      <c r="D48" s="74"/>
      <c r="E48" s="74"/>
      <c r="F48" s="74"/>
      <c r="G48" s="74"/>
      <c r="H48" s="74"/>
      <c r="I48" s="74"/>
      <c r="J48" s="74"/>
      <c r="K48" s="67"/>
      <c r="L48" s="67"/>
    </row>
    <row r="49" spans="1:12" ht="22.05" customHeight="1" x14ac:dyDescent="0.3">
      <c r="A49" s="67"/>
      <c r="B49" s="74"/>
      <c r="C49" s="74"/>
      <c r="D49" s="74"/>
      <c r="E49" s="74"/>
      <c r="F49" s="74"/>
      <c r="G49" s="74"/>
      <c r="H49" s="74"/>
      <c r="I49" s="74"/>
      <c r="J49" s="74"/>
      <c r="K49" s="67"/>
      <c r="L49" s="67"/>
    </row>
    <row r="50" spans="1:12" ht="22.05" customHeight="1" x14ac:dyDescent="0.3">
      <c r="A50" s="67"/>
      <c r="B50" s="73"/>
      <c r="C50" s="73"/>
      <c r="D50" s="73"/>
      <c r="E50" s="73"/>
      <c r="F50" s="73"/>
      <c r="G50" s="73"/>
      <c r="H50" s="73"/>
      <c r="I50" s="73"/>
      <c r="J50" s="73"/>
      <c r="K50" s="67"/>
      <c r="L50" s="67"/>
    </row>
    <row r="51" spans="1:12" x14ac:dyDescent="0.3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</row>
    <row r="52" spans="1:12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</row>
    <row r="53" spans="1:12" x14ac:dyDescent="0.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1:12" x14ac:dyDescent="0.3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1:12" x14ac:dyDescent="0.3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1:12" x14ac:dyDescent="0.3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</row>
    <row r="57" spans="1:12" x14ac:dyDescent="0.3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</row>
    <row r="58" spans="1:12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</row>
    <row r="59" spans="1:12" x14ac:dyDescent="0.3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1:12" x14ac:dyDescent="0.3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</row>
  </sheetData>
  <mergeCells count="3">
    <mergeCell ref="B1:L1"/>
    <mergeCell ref="G3:J3"/>
    <mergeCell ref="B5:J5"/>
  </mergeCells>
  <hyperlinks>
    <hyperlink ref="A2" location="'Navigation'!A1" tooltip="Back" display="'Navigation'!A1" xr:uid="{E496472F-9291-433C-8415-405691B7FF5D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F648-054E-4786-81AF-87F628E24F1A}">
  <sheetPr codeName="Sheet37"/>
  <dimension ref="A1:L40"/>
  <sheetViews>
    <sheetView workbookViewId="0"/>
  </sheetViews>
  <sheetFormatPr defaultRowHeight="14.4" x14ac:dyDescent="0.3"/>
  <cols>
    <col min="1" max="1" width="3.77734375" customWidth="1"/>
    <col min="2" max="11" width="12.77734375" customWidth="1"/>
    <col min="12" max="12" width="3.77734375" customWidth="1"/>
  </cols>
  <sheetData>
    <row r="1" spans="1:12" ht="34.950000000000003" customHeight="1" x14ac:dyDescent="0.3">
      <c r="A1" s="71" t="s">
        <v>946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2" x14ac:dyDescent="0.3">
      <c r="A2" s="72" t="s">
        <v>134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30" customHeight="1" x14ac:dyDescent="0.3">
      <c r="A3" s="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34.950000000000003" customHeight="1" x14ac:dyDescent="0.3">
      <c r="A5" s="67"/>
      <c r="B5" s="163" t="s">
        <v>479</v>
      </c>
      <c r="C5" s="163"/>
      <c r="D5" s="164"/>
      <c r="E5" s="164"/>
      <c r="F5" s="164"/>
      <c r="G5" s="164"/>
      <c r="H5" s="164"/>
      <c r="I5" s="164"/>
      <c r="J5" s="164"/>
      <c r="K5" s="164"/>
      <c r="L5" s="67"/>
    </row>
    <row r="6" spans="1:12" x14ac:dyDescent="0.3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1:12" ht="34.950000000000003" customHeight="1" x14ac:dyDescent="0.3">
      <c r="A7" s="67"/>
      <c r="B7" s="163" t="s">
        <v>485</v>
      </c>
      <c r="C7" s="163"/>
      <c r="D7" s="164"/>
      <c r="E7" s="164"/>
      <c r="F7" s="164"/>
      <c r="G7" s="164"/>
      <c r="H7" s="164"/>
      <c r="I7" s="164"/>
      <c r="J7" s="164"/>
      <c r="K7" s="164"/>
      <c r="L7" s="67"/>
    </row>
    <row r="8" spans="1:12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34.950000000000003" customHeight="1" x14ac:dyDescent="0.3">
      <c r="A9" s="67"/>
      <c r="B9" s="163" t="s">
        <v>489</v>
      </c>
      <c r="C9" s="163"/>
      <c r="D9" s="164"/>
      <c r="E9" s="164"/>
      <c r="F9" s="164"/>
      <c r="G9" s="164"/>
      <c r="H9" s="164"/>
      <c r="I9" s="164"/>
      <c r="J9" s="164"/>
      <c r="K9" s="164"/>
      <c r="L9" s="67"/>
    </row>
    <row r="10" spans="1:12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ht="34.950000000000003" customHeight="1" x14ac:dyDescent="0.3">
      <c r="A11" s="67"/>
      <c r="B11" s="163" t="s">
        <v>492</v>
      </c>
      <c r="C11" s="163"/>
      <c r="D11" s="164"/>
      <c r="E11" s="164"/>
      <c r="F11" s="164"/>
      <c r="G11" s="164"/>
      <c r="H11" s="164"/>
      <c r="I11" s="164"/>
      <c r="J11" s="164"/>
      <c r="K11" s="164"/>
      <c r="L11" s="67"/>
    </row>
    <row r="12" spans="1:12" x14ac:dyDescent="0.3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spans="1:12" ht="34.950000000000003" customHeight="1" x14ac:dyDescent="0.3">
      <c r="A13" s="67"/>
      <c r="B13" s="163" t="s">
        <v>496</v>
      </c>
      <c r="C13" s="163"/>
      <c r="D13" s="164"/>
      <c r="E13" s="164"/>
      <c r="F13" s="164"/>
      <c r="G13" s="164"/>
      <c r="H13" s="164"/>
      <c r="I13" s="164"/>
      <c r="J13" s="164"/>
      <c r="K13" s="164"/>
      <c r="L13" s="67"/>
    </row>
    <row r="14" spans="1:12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</row>
    <row r="15" spans="1:12" ht="34.950000000000003" customHeight="1" x14ac:dyDescent="0.3">
      <c r="A15" s="67"/>
      <c r="B15" s="163" t="s">
        <v>498</v>
      </c>
      <c r="C15" s="163"/>
      <c r="D15" s="164"/>
      <c r="E15" s="164"/>
      <c r="F15" s="164"/>
      <c r="G15" s="164"/>
      <c r="H15" s="164"/>
      <c r="I15" s="164"/>
      <c r="J15" s="164"/>
      <c r="K15" s="164"/>
      <c r="L15" s="67"/>
    </row>
    <row r="16" spans="1:12" x14ac:dyDescent="0.3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</row>
    <row r="17" spans="1:12" ht="34.950000000000003" customHeight="1" x14ac:dyDescent="0.3">
      <c r="A17" s="67"/>
      <c r="B17" s="163" t="s">
        <v>472</v>
      </c>
      <c r="C17" s="163"/>
      <c r="D17" s="164"/>
      <c r="E17" s="164"/>
      <c r="F17" s="164"/>
      <c r="G17" s="164"/>
      <c r="H17" s="164"/>
      <c r="I17" s="164"/>
      <c r="J17" s="164"/>
      <c r="K17" s="164"/>
      <c r="L17" s="67"/>
    </row>
    <row r="18" spans="1:12" x14ac:dyDescent="0.3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1:12" x14ac:dyDescent="0.3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</row>
    <row r="20" spans="1:12" x14ac:dyDescent="0.3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</row>
    <row r="21" spans="1:12" x14ac:dyDescent="0.3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1:12" x14ac:dyDescent="0.3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x14ac:dyDescent="0.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1:12" x14ac:dyDescent="0.3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1:12" x14ac:dyDescent="0.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1:12" x14ac:dyDescent="0.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12" x14ac:dyDescent="0.3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2" x14ac:dyDescent="0.3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</row>
    <row r="29" spans="1:12" x14ac:dyDescent="0.3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1:12" x14ac:dyDescent="0.3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</row>
    <row r="31" spans="1:12" x14ac:dyDescent="0.3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</row>
    <row r="32" spans="1:12" x14ac:dyDescent="0.3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</row>
    <row r="33" spans="1:12" x14ac:dyDescent="0.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1:12" x14ac:dyDescent="0.3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</row>
    <row r="35" spans="1:12" x14ac:dyDescent="0.3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3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1:12" x14ac:dyDescent="0.3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1:12" x14ac:dyDescent="0.3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</row>
    <row r="39" spans="1:12" x14ac:dyDescent="0.3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</row>
    <row r="40" spans="1:12" x14ac:dyDescent="0.3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</row>
  </sheetData>
  <mergeCells count="15">
    <mergeCell ref="B15:C15"/>
    <mergeCell ref="D15:K15"/>
    <mergeCell ref="B17:C17"/>
    <mergeCell ref="D17:K17"/>
    <mergeCell ref="B9:C9"/>
    <mergeCell ref="D9:K9"/>
    <mergeCell ref="B11:C11"/>
    <mergeCell ref="D11:K11"/>
    <mergeCell ref="B13:C13"/>
    <mergeCell ref="D13:K13"/>
    <mergeCell ref="B1:L1"/>
    <mergeCell ref="B5:C5"/>
    <mergeCell ref="D5:K5"/>
    <mergeCell ref="B7:C7"/>
    <mergeCell ref="D7:K7"/>
  </mergeCells>
  <hyperlinks>
    <hyperlink ref="A2" location="'Navigation'!A1" tooltip="Back" display="'Navigation'!A1" xr:uid="{EEB81D5C-8EA8-401C-9833-485A643E0749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4ED5-6E3F-4EF6-8C8D-32C3B9F5C344}">
  <sheetPr codeName="Sheet38"/>
  <dimension ref="A1:L60"/>
  <sheetViews>
    <sheetView workbookViewId="0"/>
  </sheetViews>
  <sheetFormatPr defaultRowHeight="14.4" x14ac:dyDescent="0.3"/>
  <cols>
    <col min="1" max="1" width="3.77734375" customWidth="1"/>
    <col min="2" max="11" width="12.77734375" customWidth="1"/>
    <col min="12" max="12" width="3.77734375" customWidth="1"/>
  </cols>
  <sheetData>
    <row r="1" spans="1:12" ht="34.950000000000003" customHeight="1" x14ac:dyDescent="0.3">
      <c r="A1" s="71" t="s">
        <v>947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2" x14ac:dyDescent="0.3">
      <c r="A2" s="72" t="s">
        <v>134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30" customHeight="1" x14ac:dyDescent="0.3">
      <c r="A3" s="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22.05" customHeight="1" x14ac:dyDescent="0.3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ht="22.05" customHeight="1" x14ac:dyDescent="0.3">
      <c r="A6" s="67"/>
      <c r="B6" s="74"/>
      <c r="C6" s="74"/>
      <c r="D6" s="74"/>
      <c r="E6" s="74"/>
      <c r="F6" s="74"/>
      <c r="G6" s="74"/>
      <c r="H6" s="74"/>
      <c r="I6" s="74"/>
      <c r="J6" s="74"/>
      <c r="K6" s="67"/>
      <c r="L6" s="67"/>
    </row>
    <row r="7" spans="1:12" ht="22.05" customHeight="1" x14ac:dyDescent="0.3">
      <c r="A7" s="67"/>
      <c r="B7" s="74"/>
      <c r="C7" s="74"/>
      <c r="D7" s="74"/>
      <c r="E7" s="74"/>
      <c r="F7" s="74"/>
      <c r="G7" s="74"/>
      <c r="H7" s="74"/>
      <c r="I7" s="74"/>
      <c r="J7" s="74"/>
      <c r="K7" s="67"/>
      <c r="L7" s="67"/>
    </row>
    <row r="8" spans="1:12" ht="22.05" customHeight="1" x14ac:dyDescent="0.3">
      <c r="A8" s="67"/>
      <c r="B8" s="74"/>
      <c r="C8" s="74"/>
      <c r="D8" s="74"/>
      <c r="E8" s="74"/>
      <c r="F8" s="74"/>
      <c r="G8" s="74"/>
      <c r="H8" s="74"/>
      <c r="I8" s="74"/>
      <c r="J8" s="74"/>
      <c r="K8" s="67"/>
      <c r="L8" s="67"/>
    </row>
    <row r="9" spans="1:12" ht="22.05" customHeight="1" x14ac:dyDescent="0.3">
      <c r="A9" s="67"/>
      <c r="B9" s="74"/>
      <c r="C9" s="74"/>
      <c r="D9" s="74"/>
      <c r="E9" s="74"/>
      <c r="F9" s="74"/>
      <c r="G9" s="74"/>
      <c r="H9" s="74"/>
      <c r="I9" s="74"/>
      <c r="J9" s="74"/>
      <c r="K9" s="67"/>
      <c r="L9" s="67"/>
    </row>
    <row r="10" spans="1:12" ht="22.05" customHeight="1" x14ac:dyDescent="0.3">
      <c r="A10" s="67"/>
      <c r="B10" s="74"/>
      <c r="C10" s="74"/>
      <c r="D10" s="74"/>
      <c r="E10" s="74"/>
      <c r="F10" s="74"/>
      <c r="G10" s="74"/>
      <c r="H10" s="74"/>
      <c r="I10" s="74"/>
      <c r="J10" s="74"/>
      <c r="K10" s="67"/>
      <c r="L10" s="67"/>
    </row>
    <row r="11" spans="1:12" ht="22.05" customHeight="1" x14ac:dyDescent="0.3">
      <c r="A11" s="67"/>
      <c r="B11" s="74"/>
      <c r="C11" s="74"/>
      <c r="D11" s="74"/>
      <c r="E11" s="74"/>
      <c r="F11" s="74"/>
      <c r="G11" s="74"/>
      <c r="H11" s="74"/>
      <c r="I11" s="74"/>
      <c r="J11" s="74"/>
      <c r="K11" s="67"/>
      <c r="L11" s="67"/>
    </row>
    <row r="12" spans="1:12" ht="22.05" customHeight="1" x14ac:dyDescent="0.3">
      <c r="A12" s="67"/>
      <c r="B12" s="74"/>
      <c r="C12" s="74"/>
      <c r="D12" s="74"/>
      <c r="E12" s="74"/>
      <c r="F12" s="74"/>
      <c r="G12" s="74"/>
      <c r="H12" s="74"/>
      <c r="I12" s="74"/>
      <c r="J12" s="74"/>
      <c r="K12" s="67"/>
      <c r="L12" s="67"/>
    </row>
    <row r="13" spans="1:12" ht="22.05" customHeight="1" x14ac:dyDescent="0.3">
      <c r="A13" s="67"/>
      <c r="B13" s="74"/>
      <c r="C13" s="74"/>
      <c r="D13" s="74"/>
      <c r="E13" s="74"/>
      <c r="F13" s="74"/>
      <c r="G13" s="74"/>
      <c r="H13" s="74"/>
      <c r="I13" s="74"/>
      <c r="J13" s="74"/>
      <c r="K13" s="67"/>
      <c r="L13" s="67"/>
    </row>
    <row r="14" spans="1:12" ht="22.05" customHeight="1" x14ac:dyDescent="0.3">
      <c r="A14" s="67"/>
      <c r="B14" s="74"/>
      <c r="C14" s="74"/>
      <c r="D14" s="74"/>
      <c r="E14" s="74"/>
      <c r="F14" s="74"/>
      <c r="G14" s="74"/>
      <c r="H14" s="74"/>
      <c r="I14" s="74"/>
      <c r="J14" s="74"/>
      <c r="K14" s="67"/>
      <c r="L14" s="67"/>
    </row>
    <row r="15" spans="1:12" ht="22.05" customHeight="1" x14ac:dyDescent="0.3">
      <c r="A15" s="67"/>
      <c r="B15" s="74"/>
      <c r="C15" s="74"/>
      <c r="D15" s="74"/>
      <c r="E15" s="74"/>
      <c r="F15" s="74"/>
      <c r="G15" s="74"/>
      <c r="H15" s="74"/>
      <c r="I15" s="74"/>
      <c r="J15" s="74"/>
      <c r="K15" s="67"/>
      <c r="L15" s="67"/>
    </row>
    <row r="16" spans="1:12" ht="22.05" customHeight="1" x14ac:dyDescent="0.3">
      <c r="A16" s="67"/>
      <c r="B16" s="74"/>
      <c r="C16" s="74"/>
      <c r="D16" s="74"/>
      <c r="E16" s="74"/>
      <c r="F16" s="74"/>
      <c r="G16" s="74"/>
      <c r="H16" s="74"/>
      <c r="I16" s="74"/>
      <c r="J16" s="74"/>
      <c r="K16" s="67"/>
      <c r="L16" s="67"/>
    </row>
    <row r="17" spans="1:12" ht="22.05" customHeight="1" x14ac:dyDescent="0.3">
      <c r="A17" s="67"/>
      <c r="B17" s="74"/>
      <c r="C17" s="74"/>
      <c r="D17" s="74"/>
      <c r="E17" s="74"/>
      <c r="F17" s="74"/>
      <c r="G17" s="74"/>
      <c r="H17" s="74"/>
      <c r="I17" s="74"/>
      <c r="J17" s="74"/>
      <c r="K17" s="67"/>
      <c r="L17" s="67"/>
    </row>
    <row r="18" spans="1:12" ht="22.05" customHeight="1" x14ac:dyDescent="0.3">
      <c r="A18" s="67"/>
      <c r="B18" s="74"/>
      <c r="C18" s="74"/>
      <c r="D18" s="74"/>
      <c r="E18" s="74"/>
      <c r="F18" s="74"/>
      <c r="G18" s="74"/>
      <c r="H18" s="74"/>
      <c r="I18" s="74"/>
      <c r="J18" s="74"/>
      <c r="K18" s="67"/>
      <c r="L18" s="67"/>
    </row>
    <row r="19" spans="1:12" ht="22.05" customHeight="1" x14ac:dyDescent="0.3">
      <c r="A19" s="67"/>
      <c r="B19" s="74"/>
      <c r="C19" s="74"/>
      <c r="D19" s="74"/>
      <c r="E19" s="74"/>
      <c r="F19" s="74"/>
      <c r="G19" s="74"/>
      <c r="H19" s="74"/>
      <c r="I19" s="74"/>
      <c r="J19" s="74"/>
      <c r="K19" s="67"/>
      <c r="L19" s="67"/>
    </row>
    <row r="20" spans="1:12" ht="22.05" customHeight="1" x14ac:dyDescent="0.3">
      <c r="A20" s="67"/>
      <c r="B20" s="74"/>
      <c r="C20" s="74"/>
      <c r="D20" s="74"/>
      <c r="E20" s="74"/>
      <c r="F20" s="74"/>
      <c r="G20" s="74"/>
      <c r="H20" s="74"/>
      <c r="I20" s="74"/>
      <c r="J20" s="74"/>
      <c r="K20" s="67"/>
      <c r="L20" s="67"/>
    </row>
    <row r="21" spans="1:12" ht="22.05" customHeight="1" x14ac:dyDescent="0.3">
      <c r="A21" s="67"/>
      <c r="B21" s="74"/>
      <c r="C21" s="74"/>
      <c r="D21" s="74"/>
      <c r="E21" s="74"/>
      <c r="F21" s="74"/>
      <c r="G21" s="74"/>
      <c r="H21" s="74"/>
      <c r="I21" s="74"/>
      <c r="J21" s="74"/>
      <c r="K21" s="67"/>
      <c r="L21" s="67"/>
    </row>
    <row r="22" spans="1:12" ht="22.05" customHeight="1" x14ac:dyDescent="0.3">
      <c r="A22" s="67"/>
      <c r="B22" s="74"/>
      <c r="C22" s="74"/>
      <c r="D22" s="74"/>
      <c r="E22" s="74"/>
      <c r="F22" s="74"/>
      <c r="G22" s="74"/>
      <c r="H22" s="74"/>
      <c r="I22" s="74"/>
      <c r="J22" s="74"/>
      <c r="K22" s="67"/>
      <c r="L22" s="67"/>
    </row>
    <row r="23" spans="1:12" ht="22.05" customHeight="1" x14ac:dyDescent="0.3">
      <c r="A23" s="67"/>
      <c r="B23" s="74"/>
      <c r="C23" s="74"/>
      <c r="D23" s="74"/>
      <c r="E23" s="74"/>
      <c r="F23" s="74"/>
      <c r="G23" s="74"/>
      <c r="H23" s="74"/>
      <c r="I23" s="74"/>
      <c r="J23" s="74"/>
      <c r="K23" s="67"/>
      <c r="L23" s="67"/>
    </row>
    <row r="24" spans="1:12" ht="22.05" customHeight="1" x14ac:dyDescent="0.3">
      <c r="A24" s="67"/>
      <c r="B24" s="74"/>
      <c r="C24" s="74"/>
      <c r="D24" s="74"/>
      <c r="E24" s="74"/>
      <c r="F24" s="74"/>
      <c r="G24" s="74"/>
      <c r="H24" s="74"/>
      <c r="I24" s="74"/>
      <c r="J24" s="74"/>
      <c r="K24" s="67"/>
      <c r="L24" s="67"/>
    </row>
    <row r="25" spans="1:12" ht="22.05" customHeight="1" x14ac:dyDescent="0.3">
      <c r="A25" s="67"/>
      <c r="B25" s="74"/>
      <c r="C25" s="74"/>
      <c r="D25" s="74"/>
      <c r="E25" s="74"/>
      <c r="F25" s="74"/>
      <c r="G25" s="74"/>
      <c r="H25" s="74"/>
      <c r="I25" s="74"/>
      <c r="J25" s="74"/>
      <c r="K25" s="67"/>
      <c r="L25" s="67"/>
    </row>
    <row r="26" spans="1:12" ht="22.05" customHeight="1" x14ac:dyDescent="0.3">
      <c r="A26" s="67"/>
      <c r="B26" s="74"/>
      <c r="C26" s="74"/>
      <c r="D26" s="74"/>
      <c r="E26" s="74"/>
      <c r="F26" s="74"/>
      <c r="G26" s="74"/>
      <c r="H26" s="74"/>
      <c r="I26" s="74"/>
      <c r="J26" s="74"/>
      <c r="K26" s="67"/>
      <c r="L26" s="67"/>
    </row>
    <row r="27" spans="1:12" ht="22.05" customHeight="1" x14ac:dyDescent="0.3">
      <c r="A27" s="67"/>
      <c r="B27" s="74"/>
      <c r="C27" s="74"/>
      <c r="D27" s="74"/>
      <c r="E27" s="74"/>
      <c r="F27" s="74"/>
      <c r="G27" s="74"/>
      <c r="H27" s="74"/>
      <c r="I27" s="74"/>
      <c r="J27" s="74"/>
      <c r="K27" s="67"/>
      <c r="L27" s="67"/>
    </row>
    <row r="28" spans="1:12" ht="22.05" customHeight="1" x14ac:dyDescent="0.3">
      <c r="A28" s="67"/>
      <c r="B28" s="74"/>
      <c r="C28" s="74"/>
      <c r="D28" s="74"/>
      <c r="E28" s="74"/>
      <c r="F28" s="74"/>
      <c r="G28" s="74"/>
      <c r="H28" s="74"/>
      <c r="I28" s="74"/>
      <c r="J28" s="74"/>
      <c r="K28" s="67"/>
      <c r="L28" s="67"/>
    </row>
    <row r="29" spans="1:12" ht="22.05" customHeight="1" x14ac:dyDescent="0.3">
      <c r="A29" s="67"/>
      <c r="B29" s="74"/>
      <c r="C29" s="74"/>
      <c r="D29" s="74"/>
      <c r="E29" s="74"/>
      <c r="F29" s="74"/>
      <c r="G29" s="74"/>
      <c r="H29" s="74"/>
      <c r="I29" s="74"/>
      <c r="J29" s="74"/>
      <c r="K29" s="67"/>
      <c r="L29" s="67"/>
    </row>
    <row r="30" spans="1:12" ht="22.05" customHeight="1" x14ac:dyDescent="0.3">
      <c r="A30" s="67"/>
      <c r="B30" s="74"/>
      <c r="C30" s="74"/>
      <c r="D30" s="74"/>
      <c r="E30" s="74"/>
      <c r="F30" s="74"/>
      <c r="G30" s="74"/>
      <c r="H30" s="74"/>
      <c r="I30" s="74"/>
      <c r="J30" s="74"/>
      <c r="K30" s="67"/>
      <c r="L30" s="67"/>
    </row>
    <row r="31" spans="1:12" ht="22.05" customHeight="1" x14ac:dyDescent="0.3">
      <c r="A31" s="67"/>
      <c r="B31" s="74"/>
      <c r="C31" s="74"/>
      <c r="D31" s="74"/>
      <c r="E31" s="74"/>
      <c r="F31" s="74"/>
      <c r="G31" s="74"/>
      <c r="H31" s="74"/>
      <c r="I31" s="74"/>
      <c r="J31" s="74"/>
      <c r="K31" s="67"/>
      <c r="L31" s="67"/>
    </row>
    <row r="32" spans="1:12" ht="22.05" customHeight="1" x14ac:dyDescent="0.3">
      <c r="A32" s="67"/>
      <c r="B32" s="74"/>
      <c r="C32" s="74"/>
      <c r="D32" s="74"/>
      <c r="E32" s="74"/>
      <c r="F32" s="74"/>
      <c r="G32" s="74"/>
      <c r="H32" s="74"/>
      <c r="I32" s="74"/>
      <c r="J32" s="74"/>
      <c r="K32" s="67"/>
      <c r="L32" s="67"/>
    </row>
    <row r="33" spans="1:12" ht="22.05" customHeight="1" x14ac:dyDescent="0.3">
      <c r="A33" s="67"/>
      <c r="B33" s="74"/>
      <c r="C33" s="74"/>
      <c r="D33" s="74"/>
      <c r="E33" s="74"/>
      <c r="F33" s="74"/>
      <c r="G33" s="74"/>
      <c r="H33" s="74"/>
      <c r="I33" s="74"/>
      <c r="J33" s="74"/>
      <c r="K33" s="67"/>
      <c r="L33" s="67"/>
    </row>
    <row r="34" spans="1:12" ht="22.05" customHeight="1" x14ac:dyDescent="0.3">
      <c r="A34" s="67"/>
      <c r="B34" s="74"/>
      <c r="C34" s="74"/>
      <c r="D34" s="74"/>
      <c r="E34" s="74"/>
      <c r="F34" s="74"/>
      <c r="G34" s="74"/>
      <c r="H34" s="74"/>
      <c r="I34" s="74"/>
      <c r="J34" s="74"/>
      <c r="K34" s="67"/>
      <c r="L34" s="67"/>
    </row>
    <row r="35" spans="1:12" ht="22.05" customHeight="1" x14ac:dyDescent="0.3">
      <c r="A35" s="67"/>
      <c r="B35" s="74"/>
      <c r="C35" s="74"/>
      <c r="D35" s="74"/>
      <c r="E35" s="74"/>
      <c r="F35" s="74"/>
      <c r="G35" s="74"/>
      <c r="H35" s="74"/>
      <c r="I35" s="74"/>
      <c r="J35" s="74"/>
      <c r="K35" s="67"/>
      <c r="L35" s="67"/>
    </row>
    <row r="36" spans="1:12" ht="22.05" customHeight="1" x14ac:dyDescent="0.3">
      <c r="A36" s="67"/>
      <c r="B36" s="74"/>
      <c r="C36" s="74"/>
      <c r="D36" s="74"/>
      <c r="E36" s="74"/>
      <c r="F36" s="74"/>
      <c r="G36" s="74"/>
      <c r="H36" s="74"/>
      <c r="I36" s="74"/>
      <c r="J36" s="74"/>
      <c r="K36" s="67"/>
      <c r="L36" s="67"/>
    </row>
    <row r="37" spans="1:12" ht="22.05" customHeight="1" x14ac:dyDescent="0.3">
      <c r="A37" s="67"/>
      <c r="B37" s="74"/>
      <c r="C37" s="74"/>
      <c r="D37" s="74"/>
      <c r="E37" s="74"/>
      <c r="F37" s="74"/>
      <c r="G37" s="74"/>
      <c r="H37" s="74"/>
      <c r="I37" s="74"/>
      <c r="J37" s="74"/>
      <c r="K37" s="67"/>
      <c r="L37" s="67"/>
    </row>
    <row r="38" spans="1:12" ht="22.05" customHeight="1" x14ac:dyDescent="0.3">
      <c r="A38" s="67"/>
      <c r="B38" s="74"/>
      <c r="C38" s="74"/>
      <c r="D38" s="74"/>
      <c r="E38" s="74"/>
      <c r="F38" s="74"/>
      <c r="G38" s="74"/>
      <c r="H38" s="74"/>
      <c r="I38" s="74"/>
      <c r="J38" s="74"/>
      <c r="K38" s="67"/>
      <c r="L38" s="67"/>
    </row>
    <row r="39" spans="1:12" ht="22.05" customHeight="1" x14ac:dyDescent="0.3">
      <c r="A39" s="67"/>
      <c r="B39" s="74"/>
      <c r="C39" s="74"/>
      <c r="D39" s="74"/>
      <c r="E39" s="74"/>
      <c r="F39" s="74"/>
      <c r="G39" s="74"/>
      <c r="H39" s="74"/>
      <c r="I39" s="74"/>
      <c r="J39" s="74"/>
      <c r="K39" s="67"/>
      <c r="L39" s="67"/>
    </row>
    <row r="40" spans="1:12" ht="22.05" customHeight="1" x14ac:dyDescent="0.3">
      <c r="A40" s="67"/>
      <c r="B40" s="74"/>
      <c r="C40" s="74"/>
      <c r="D40" s="74"/>
      <c r="E40" s="74"/>
      <c r="F40" s="74"/>
      <c r="G40" s="74"/>
      <c r="H40" s="74"/>
      <c r="I40" s="74"/>
      <c r="J40" s="74"/>
      <c r="K40" s="67"/>
      <c r="L40" s="67"/>
    </row>
    <row r="41" spans="1:12" ht="22.05" customHeight="1" x14ac:dyDescent="0.3">
      <c r="A41" s="67"/>
      <c r="B41" s="74"/>
      <c r="C41" s="74"/>
      <c r="D41" s="74"/>
      <c r="E41" s="74"/>
      <c r="F41" s="74"/>
      <c r="G41" s="74"/>
      <c r="H41" s="74"/>
      <c r="I41" s="74"/>
      <c r="J41" s="74"/>
      <c r="K41" s="67"/>
      <c r="L41" s="67"/>
    </row>
    <row r="42" spans="1:12" ht="22.05" customHeight="1" x14ac:dyDescent="0.3">
      <c r="A42" s="67"/>
      <c r="B42" s="74"/>
      <c r="C42" s="74"/>
      <c r="D42" s="74"/>
      <c r="E42" s="74"/>
      <c r="F42" s="74"/>
      <c r="G42" s="74"/>
      <c r="H42" s="74"/>
      <c r="I42" s="74"/>
      <c r="J42" s="74"/>
      <c r="K42" s="67"/>
      <c r="L42" s="67"/>
    </row>
    <row r="43" spans="1:12" ht="22.05" customHeight="1" x14ac:dyDescent="0.3">
      <c r="A43" s="67"/>
      <c r="B43" s="74"/>
      <c r="C43" s="74"/>
      <c r="D43" s="74"/>
      <c r="E43" s="74"/>
      <c r="F43" s="74"/>
      <c r="G43" s="74"/>
      <c r="H43" s="74"/>
      <c r="I43" s="74"/>
      <c r="J43" s="74"/>
      <c r="K43" s="67"/>
      <c r="L43" s="67"/>
    </row>
    <row r="44" spans="1:12" ht="22.05" customHeight="1" x14ac:dyDescent="0.3">
      <c r="A44" s="67"/>
      <c r="B44" s="74"/>
      <c r="C44" s="74"/>
      <c r="D44" s="74"/>
      <c r="E44" s="74"/>
      <c r="F44" s="74"/>
      <c r="G44" s="74"/>
      <c r="H44" s="74"/>
      <c r="I44" s="74"/>
      <c r="J44" s="74"/>
      <c r="K44" s="67"/>
      <c r="L44" s="67"/>
    </row>
    <row r="45" spans="1:12" ht="22.05" customHeight="1" x14ac:dyDescent="0.3">
      <c r="A45" s="67"/>
      <c r="B45" s="74"/>
      <c r="C45" s="74"/>
      <c r="D45" s="74"/>
      <c r="E45" s="74"/>
      <c r="F45" s="74"/>
      <c r="G45" s="74"/>
      <c r="H45" s="74"/>
      <c r="I45" s="74"/>
      <c r="J45" s="74"/>
      <c r="K45" s="67"/>
      <c r="L45" s="67"/>
    </row>
    <row r="46" spans="1:12" ht="22.05" customHeight="1" x14ac:dyDescent="0.3">
      <c r="A46" s="67"/>
      <c r="B46" s="74"/>
      <c r="C46" s="74"/>
      <c r="D46" s="74"/>
      <c r="E46" s="74"/>
      <c r="F46" s="74"/>
      <c r="G46" s="74"/>
      <c r="H46" s="74"/>
      <c r="I46" s="74"/>
      <c r="J46" s="74"/>
      <c r="K46" s="67"/>
      <c r="L46" s="67"/>
    </row>
    <row r="47" spans="1:12" ht="22.05" customHeight="1" x14ac:dyDescent="0.3">
      <c r="A47" s="67"/>
      <c r="B47" s="74"/>
      <c r="C47" s="74"/>
      <c r="D47" s="74"/>
      <c r="E47" s="74"/>
      <c r="F47" s="74"/>
      <c r="G47" s="74"/>
      <c r="H47" s="74"/>
      <c r="I47" s="74"/>
      <c r="J47" s="74"/>
      <c r="K47" s="67"/>
      <c r="L47" s="67"/>
    </row>
    <row r="48" spans="1:12" ht="22.05" customHeight="1" x14ac:dyDescent="0.3">
      <c r="A48" s="67"/>
      <c r="B48" s="74"/>
      <c r="C48" s="74"/>
      <c r="D48" s="74"/>
      <c r="E48" s="74"/>
      <c r="F48" s="74"/>
      <c r="G48" s="74"/>
      <c r="H48" s="74"/>
      <c r="I48" s="74"/>
      <c r="J48" s="74"/>
      <c r="K48" s="67"/>
      <c r="L48" s="67"/>
    </row>
    <row r="49" spans="1:12" ht="22.05" customHeight="1" x14ac:dyDescent="0.3">
      <c r="A49" s="67"/>
      <c r="B49" s="74"/>
      <c r="C49" s="74"/>
      <c r="D49" s="74"/>
      <c r="E49" s="74"/>
      <c r="F49" s="74"/>
      <c r="G49" s="74"/>
      <c r="H49" s="74"/>
      <c r="I49" s="74"/>
      <c r="J49" s="74"/>
      <c r="K49" s="67"/>
      <c r="L49" s="67"/>
    </row>
    <row r="50" spans="1:12" ht="22.05" customHeight="1" x14ac:dyDescent="0.3">
      <c r="A50" s="67"/>
      <c r="B50" s="73"/>
      <c r="C50" s="73"/>
      <c r="D50" s="73"/>
      <c r="E50" s="73"/>
      <c r="F50" s="73"/>
      <c r="G50" s="73"/>
      <c r="H50" s="73"/>
      <c r="I50" s="73"/>
      <c r="J50" s="73"/>
      <c r="K50" s="67"/>
      <c r="L50" s="67"/>
    </row>
    <row r="51" spans="1:12" x14ac:dyDescent="0.3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</row>
    <row r="52" spans="1:12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</row>
    <row r="53" spans="1:12" x14ac:dyDescent="0.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1:12" x14ac:dyDescent="0.3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1:12" x14ac:dyDescent="0.3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1:12" x14ac:dyDescent="0.3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</row>
    <row r="57" spans="1:12" x14ac:dyDescent="0.3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</row>
    <row r="58" spans="1:12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</row>
    <row r="59" spans="1:12" x14ac:dyDescent="0.3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1:12" x14ac:dyDescent="0.3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</row>
  </sheetData>
  <mergeCells count="1">
    <mergeCell ref="B1:L1"/>
  </mergeCells>
  <hyperlinks>
    <hyperlink ref="A2" location="'Navigation'!A1" tooltip="Back" display="'Navigation'!A1" xr:uid="{A3D7EE55-D005-45A8-A116-98E54F91208C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D7E9-27B9-4C3F-B54F-33D6B5CEABC7}">
  <sheetPr codeName="Sheet39"/>
  <dimension ref="A1:L40"/>
  <sheetViews>
    <sheetView workbookViewId="0"/>
  </sheetViews>
  <sheetFormatPr defaultRowHeight="14.4" x14ac:dyDescent="0.3"/>
  <cols>
    <col min="1" max="1" width="3.77734375" customWidth="1"/>
    <col min="2" max="11" width="12.77734375" customWidth="1"/>
    <col min="12" max="12" width="3.77734375" customWidth="1"/>
  </cols>
  <sheetData>
    <row r="1" spans="1:12" ht="34.950000000000003" customHeight="1" x14ac:dyDescent="0.3">
      <c r="A1" s="71" t="s">
        <v>948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2" x14ac:dyDescent="0.3">
      <c r="A2" s="72" t="s">
        <v>134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30" customHeight="1" x14ac:dyDescent="0.3">
      <c r="A3" s="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25.05" customHeight="1" x14ac:dyDescent="0.3">
      <c r="A5" s="67"/>
      <c r="B5" s="165" t="s">
        <v>949</v>
      </c>
      <c r="C5" s="165"/>
      <c r="D5" s="165"/>
      <c r="E5" s="165"/>
      <c r="F5" s="165"/>
      <c r="G5" s="165"/>
      <c r="H5" s="165"/>
      <c r="I5" s="165"/>
      <c r="J5" s="165"/>
      <c r="K5" s="165"/>
      <c r="L5" s="67"/>
    </row>
    <row r="6" spans="1:12" ht="25.05" customHeight="1" x14ac:dyDescent="0.3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1:12" ht="25.05" customHeight="1" x14ac:dyDescent="0.3">
      <c r="A7" s="67"/>
      <c r="B7" s="73"/>
      <c r="C7" s="73"/>
      <c r="D7" s="73"/>
      <c r="E7" s="73"/>
      <c r="F7" s="73"/>
      <c r="G7" s="73"/>
      <c r="H7" s="73"/>
      <c r="I7" s="73"/>
      <c r="J7" s="73"/>
      <c r="K7" s="73"/>
      <c r="L7" s="67"/>
    </row>
    <row r="8" spans="1:12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25.05" customHeight="1" x14ac:dyDescent="0.3">
      <c r="A9" s="67"/>
      <c r="B9" s="165" t="s">
        <v>950</v>
      </c>
      <c r="C9" s="165"/>
      <c r="D9" s="165"/>
      <c r="E9" s="165"/>
      <c r="F9" s="165"/>
      <c r="G9" s="165"/>
      <c r="H9" s="165"/>
      <c r="I9" s="165"/>
      <c r="J9" s="165"/>
      <c r="K9" s="165"/>
      <c r="L9" s="67"/>
    </row>
    <row r="10" spans="1:12" ht="25.0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ht="25.05" customHeight="1" x14ac:dyDescent="0.3">
      <c r="A11" s="67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67"/>
    </row>
    <row r="12" spans="1:12" x14ac:dyDescent="0.3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spans="1:12" ht="25.05" customHeight="1" x14ac:dyDescent="0.3">
      <c r="A13" s="67"/>
      <c r="B13" s="165" t="s">
        <v>951</v>
      </c>
      <c r="C13" s="165"/>
      <c r="D13" s="165"/>
      <c r="E13" s="165"/>
      <c r="F13" s="165"/>
      <c r="G13" s="165"/>
      <c r="H13" s="165"/>
      <c r="I13" s="165"/>
      <c r="J13" s="165"/>
      <c r="K13" s="165"/>
      <c r="L13" s="67"/>
    </row>
    <row r="14" spans="1:12" ht="25.05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</row>
    <row r="15" spans="1:12" ht="25.05" customHeight="1" x14ac:dyDescent="0.3">
      <c r="A15" s="67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67"/>
    </row>
    <row r="16" spans="1:12" x14ac:dyDescent="0.3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</row>
    <row r="17" spans="1:12" ht="25.05" customHeight="1" x14ac:dyDescent="0.3">
      <c r="A17" s="67"/>
      <c r="B17" s="165" t="s">
        <v>952</v>
      </c>
      <c r="C17" s="165"/>
      <c r="D17" s="165"/>
      <c r="E17" s="165"/>
      <c r="F17" s="165"/>
      <c r="G17" s="165"/>
      <c r="H17" s="165"/>
      <c r="I17" s="165"/>
      <c r="J17" s="165"/>
      <c r="K17" s="165"/>
      <c r="L17" s="67"/>
    </row>
    <row r="18" spans="1:12" ht="25.05" customHeight="1" x14ac:dyDescent="0.3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1:12" ht="25.05" customHeight="1" x14ac:dyDescent="0.3">
      <c r="A19" s="67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67"/>
    </row>
    <row r="20" spans="1:12" x14ac:dyDescent="0.3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</row>
    <row r="21" spans="1:12" ht="25.05" customHeight="1" x14ac:dyDescent="0.3">
      <c r="A21" s="67"/>
      <c r="B21" s="165" t="s">
        <v>953</v>
      </c>
      <c r="C21" s="165"/>
      <c r="D21" s="165"/>
      <c r="E21" s="165"/>
      <c r="F21" s="165"/>
      <c r="G21" s="165"/>
      <c r="H21" s="165"/>
      <c r="I21" s="165"/>
      <c r="J21" s="165"/>
      <c r="K21" s="165"/>
      <c r="L21" s="67"/>
    </row>
    <row r="22" spans="1:12" ht="25.05" customHeight="1" x14ac:dyDescent="0.3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ht="25.05" customHeight="1" x14ac:dyDescent="0.3">
      <c r="A23" s="67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67"/>
    </row>
    <row r="24" spans="1:12" x14ac:dyDescent="0.3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1:12" x14ac:dyDescent="0.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1:12" x14ac:dyDescent="0.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12" x14ac:dyDescent="0.3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2" x14ac:dyDescent="0.3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</row>
    <row r="29" spans="1:12" x14ac:dyDescent="0.3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1:12" x14ac:dyDescent="0.3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</row>
    <row r="31" spans="1:12" x14ac:dyDescent="0.3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</row>
    <row r="32" spans="1:12" x14ac:dyDescent="0.3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</row>
    <row r="33" spans="1:12" x14ac:dyDescent="0.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1:12" x14ac:dyDescent="0.3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</row>
    <row r="35" spans="1:12" x14ac:dyDescent="0.3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3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1:12" x14ac:dyDescent="0.3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1:12" x14ac:dyDescent="0.3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</row>
    <row r="39" spans="1:12" x14ac:dyDescent="0.3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</row>
    <row r="40" spans="1:12" x14ac:dyDescent="0.3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</row>
  </sheetData>
  <mergeCells count="6">
    <mergeCell ref="B13:K13"/>
    <mergeCell ref="B17:K17"/>
    <mergeCell ref="B21:K21"/>
    <mergeCell ref="B1:L1"/>
    <mergeCell ref="B5:K5"/>
    <mergeCell ref="B9:K9"/>
  </mergeCells>
  <hyperlinks>
    <hyperlink ref="A2" location="'Navigation'!A1" tooltip="Back" display="'Navigation'!A1" xr:uid="{D8508196-2465-474B-A199-C2461E443D1F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FA2C-5A32-495B-802F-85AE0E5FDD4D}">
  <sheetPr codeName="Sheet40"/>
  <dimension ref="A1:L9"/>
  <sheetViews>
    <sheetView workbookViewId="0"/>
  </sheetViews>
  <sheetFormatPr defaultRowHeight="14.4" x14ac:dyDescent="0.3"/>
  <cols>
    <col min="1" max="1" width="22.77734375" customWidth="1"/>
    <col min="2" max="2" width="15.77734375" customWidth="1"/>
  </cols>
  <sheetData>
    <row r="1" spans="1:12" ht="31.95" customHeight="1" x14ac:dyDescent="0.3">
      <c r="A1" s="157" t="s">
        <v>1160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166" t="s">
        <v>954</v>
      </c>
      <c r="B3" s="166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4" customHeight="1" x14ac:dyDescent="0.3">
      <c r="A4" s="50" t="s">
        <v>955</v>
      </c>
      <c r="B4" s="77">
        <v>50000</v>
      </c>
    </row>
    <row r="5" spans="1:12" ht="24" customHeight="1" x14ac:dyDescent="0.3">
      <c r="A5" s="50" t="s">
        <v>956</v>
      </c>
      <c r="B5" s="77">
        <v>29000</v>
      </c>
    </row>
    <row r="6" spans="1:12" ht="24" customHeight="1" x14ac:dyDescent="0.3">
      <c r="A6" s="50" t="s">
        <v>957</v>
      </c>
      <c r="B6" s="77">
        <v>21000</v>
      </c>
    </row>
    <row r="7" spans="1:12" ht="24" customHeight="1" x14ac:dyDescent="0.3">
      <c r="A7" s="50" t="s">
        <v>958</v>
      </c>
      <c r="B7" s="77">
        <v>42</v>
      </c>
    </row>
    <row r="8" spans="1:12" ht="24" customHeight="1" x14ac:dyDescent="0.3">
      <c r="A8" s="50" t="s">
        <v>959</v>
      </c>
      <c r="B8" s="77">
        <v>5000</v>
      </c>
    </row>
    <row r="9" spans="1:12" ht="24" customHeight="1" x14ac:dyDescent="0.3">
      <c r="A9" s="50" t="s">
        <v>960</v>
      </c>
      <c r="B9" s="77">
        <v>8000</v>
      </c>
    </row>
  </sheetData>
  <mergeCells count="2">
    <mergeCell ref="A1:L1"/>
    <mergeCell ref="A3:B3"/>
  </mergeCells>
  <hyperlinks>
    <hyperlink ref="A1" location="'Navigation'!A1" tooltip="Back" display="'Navigation'!A1" xr:uid="{8CE1C88F-849F-48C2-A9FE-C8022033CA8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4E5B-E743-496C-8DE8-32FB7A67AB00}">
  <sheetPr codeName="Sheet41"/>
  <dimension ref="A1:L12"/>
  <sheetViews>
    <sheetView workbookViewId="0"/>
  </sheetViews>
  <sheetFormatPr defaultRowHeight="14.4" x14ac:dyDescent="0.3"/>
  <cols>
    <col min="1" max="1" width="10.77734375" customWidth="1"/>
    <col min="2" max="2" width="22.77734375" customWidth="1"/>
    <col min="3" max="3" width="15.77734375" customWidth="1"/>
    <col min="4" max="4" width="12.77734375" customWidth="1"/>
    <col min="5" max="5" width="8.77734375" customWidth="1"/>
    <col min="6" max="6" width="10.77734375" customWidth="1"/>
    <col min="7" max="7" width="20.77734375" customWidth="1"/>
  </cols>
  <sheetData>
    <row r="1" spans="1:12" ht="30" customHeight="1" x14ac:dyDescent="0.3">
      <c r="A1" s="158" t="s">
        <v>1161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585</v>
      </c>
      <c r="B3" s="48" t="s">
        <v>961</v>
      </c>
      <c r="C3" s="48" t="s">
        <v>415</v>
      </c>
      <c r="D3" s="48" t="s">
        <v>962</v>
      </c>
      <c r="E3" s="48" t="s">
        <v>181</v>
      </c>
      <c r="F3" s="48" t="s">
        <v>963</v>
      </c>
      <c r="G3" s="48" t="s">
        <v>150</v>
      </c>
      <c r="H3" s="2"/>
      <c r="I3" s="2"/>
      <c r="J3" s="2"/>
      <c r="K3" s="2"/>
      <c r="L3" s="2"/>
    </row>
    <row r="4" spans="1:12" ht="22.05" customHeight="1" x14ac:dyDescent="0.3">
      <c r="A4" s="101">
        <v>46296</v>
      </c>
      <c r="B4" s="16" t="s">
        <v>964</v>
      </c>
      <c r="C4" s="16" t="s">
        <v>965</v>
      </c>
      <c r="D4" s="49">
        <v>25000</v>
      </c>
      <c r="E4" s="16" t="s">
        <v>511</v>
      </c>
      <c r="F4" s="16" t="s">
        <v>966</v>
      </c>
      <c r="G4" s="16" t="s">
        <v>967</v>
      </c>
    </row>
    <row r="5" spans="1:12" ht="22.05" customHeight="1" x14ac:dyDescent="0.3">
      <c r="A5" s="101">
        <v>46300</v>
      </c>
      <c r="B5" s="16" t="s">
        <v>968</v>
      </c>
      <c r="C5" s="16" t="s">
        <v>969</v>
      </c>
      <c r="D5" s="49">
        <v>8000</v>
      </c>
      <c r="E5" s="16" t="s">
        <v>511</v>
      </c>
      <c r="F5" s="16" t="s">
        <v>970</v>
      </c>
      <c r="G5" s="16" t="s">
        <v>971</v>
      </c>
    </row>
    <row r="6" spans="1:12" ht="22.05" customHeight="1" x14ac:dyDescent="0.3">
      <c r="A6" s="101">
        <v>46305</v>
      </c>
      <c r="B6" s="16" t="s">
        <v>972</v>
      </c>
      <c r="C6" s="16" t="s">
        <v>973</v>
      </c>
      <c r="D6" s="49">
        <v>3000</v>
      </c>
      <c r="E6" s="16" t="s">
        <v>511</v>
      </c>
      <c r="F6" s="16" t="s">
        <v>974</v>
      </c>
      <c r="G6" s="16" t="s">
        <v>975</v>
      </c>
    </row>
    <row r="7" spans="1:12" ht="22.05" customHeight="1" x14ac:dyDescent="0.3">
      <c r="A7" s="101">
        <v>46310</v>
      </c>
      <c r="B7" s="16" t="s">
        <v>976</v>
      </c>
      <c r="C7" s="16" t="s">
        <v>977</v>
      </c>
      <c r="D7" s="49">
        <v>2000</v>
      </c>
      <c r="E7" s="16" t="s">
        <v>529</v>
      </c>
      <c r="F7" s="16" t="s">
        <v>966</v>
      </c>
      <c r="G7" s="16" t="s">
        <v>978</v>
      </c>
    </row>
    <row r="8" spans="1:12" ht="22.05" customHeight="1" x14ac:dyDescent="0.3">
      <c r="A8" s="101">
        <v>46315</v>
      </c>
      <c r="B8" s="16" t="s">
        <v>979</v>
      </c>
      <c r="C8" s="16" t="s">
        <v>980</v>
      </c>
      <c r="D8" s="49">
        <v>5000</v>
      </c>
      <c r="E8" s="16" t="s">
        <v>529</v>
      </c>
      <c r="F8" s="16" t="s">
        <v>970</v>
      </c>
      <c r="G8" s="16" t="s">
        <v>981</v>
      </c>
    </row>
    <row r="9" spans="1:12" ht="22.05" customHeight="1" x14ac:dyDescent="0.3">
      <c r="A9" s="101">
        <v>46320</v>
      </c>
      <c r="B9" s="16" t="s">
        <v>982</v>
      </c>
      <c r="C9" s="16" t="s">
        <v>983</v>
      </c>
      <c r="D9" s="49">
        <v>2000</v>
      </c>
      <c r="E9" s="16" t="s">
        <v>529</v>
      </c>
      <c r="F9" s="16" t="s">
        <v>966</v>
      </c>
      <c r="G9" s="16" t="s">
        <v>984</v>
      </c>
    </row>
    <row r="10" spans="1:12" ht="22.05" customHeight="1" x14ac:dyDescent="0.3">
      <c r="A10" s="101">
        <v>46323</v>
      </c>
      <c r="B10" s="16" t="s">
        <v>985</v>
      </c>
      <c r="C10" s="16" t="s">
        <v>986</v>
      </c>
      <c r="D10" s="49">
        <v>3000</v>
      </c>
      <c r="E10" s="16" t="s">
        <v>529</v>
      </c>
      <c r="F10" s="16" t="s">
        <v>966</v>
      </c>
      <c r="G10" s="16" t="s">
        <v>987</v>
      </c>
    </row>
    <row r="11" spans="1:12" ht="22.05" customHeight="1" x14ac:dyDescent="0.3">
      <c r="A11" s="101">
        <v>46325</v>
      </c>
      <c r="B11" s="16" t="s">
        <v>988</v>
      </c>
      <c r="C11" s="16" t="s">
        <v>989</v>
      </c>
      <c r="D11" s="49">
        <v>500</v>
      </c>
      <c r="E11" s="16" t="s">
        <v>529</v>
      </c>
      <c r="F11" s="16" t="s">
        <v>970</v>
      </c>
      <c r="G11" s="16" t="s">
        <v>990</v>
      </c>
    </row>
    <row r="12" spans="1:12" x14ac:dyDescent="0.3">
      <c r="A12" s="31" t="s">
        <v>418</v>
      </c>
      <c r="B12" s="31"/>
      <c r="C12" s="31"/>
      <c r="D12" s="78">
        <f>SUM(D4:D11)</f>
        <v>48500</v>
      </c>
      <c r="E12" s="31"/>
      <c r="F12" s="31"/>
      <c r="G12" s="31"/>
    </row>
  </sheetData>
  <mergeCells count="1">
    <mergeCell ref="A1:L1"/>
  </mergeCells>
  <hyperlinks>
    <hyperlink ref="A1" location="'Navigation'!A1" tooltip="Back" display="'Navigation'!A1" xr:uid="{5FCB7619-2650-41C3-A9B3-E490BEB45A2F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166-2D3D-4D24-9DF0-3823AFD8F50F}">
  <sheetPr codeName="Sheet42"/>
  <dimension ref="A1:L17"/>
  <sheetViews>
    <sheetView workbookViewId="0"/>
  </sheetViews>
  <sheetFormatPr defaultRowHeight="14.4" x14ac:dyDescent="0.3"/>
  <cols>
    <col min="1" max="1" width="10.77734375" customWidth="1"/>
    <col min="2" max="2" width="22.77734375" customWidth="1"/>
    <col min="3" max="3" width="18.77734375" customWidth="1"/>
    <col min="4" max="5" width="12.77734375" customWidth="1"/>
    <col min="6" max="6" width="10.77734375" customWidth="1"/>
    <col min="7" max="7" width="20.77734375" customWidth="1"/>
  </cols>
  <sheetData>
    <row r="1" spans="1:12" ht="30" customHeight="1" x14ac:dyDescent="0.3">
      <c r="A1" s="158" t="s">
        <v>1162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585</v>
      </c>
      <c r="B3" s="48" t="s">
        <v>414</v>
      </c>
      <c r="C3" s="48" t="s">
        <v>415</v>
      </c>
      <c r="D3" s="48" t="s">
        <v>962</v>
      </c>
      <c r="E3" s="48" t="s">
        <v>991</v>
      </c>
      <c r="F3" s="48" t="s">
        <v>181</v>
      </c>
      <c r="G3" s="48" t="s">
        <v>150</v>
      </c>
      <c r="H3" s="2"/>
      <c r="I3" s="2"/>
      <c r="J3" s="2"/>
      <c r="K3" s="2"/>
      <c r="L3" s="2"/>
    </row>
    <row r="4" spans="1:12" ht="22.05" customHeight="1" x14ac:dyDescent="0.3">
      <c r="A4" s="101">
        <v>46296</v>
      </c>
      <c r="B4" s="16" t="s">
        <v>992</v>
      </c>
      <c r="C4" s="16" t="s">
        <v>993</v>
      </c>
      <c r="D4" s="49">
        <v>10000</v>
      </c>
      <c r="E4" s="16" t="s">
        <v>966</v>
      </c>
      <c r="F4" s="16" t="s">
        <v>511</v>
      </c>
      <c r="G4" s="16" t="s">
        <v>994</v>
      </c>
    </row>
    <row r="5" spans="1:12" ht="22.05" customHeight="1" x14ac:dyDescent="0.3">
      <c r="A5" s="101">
        <v>46297</v>
      </c>
      <c r="B5" s="16" t="s">
        <v>995</v>
      </c>
      <c r="C5" s="16" t="s">
        <v>996</v>
      </c>
      <c r="D5" s="49">
        <v>3000</v>
      </c>
      <c r="E5" s="16" t="s">
        <v>974</v>
      </c>
      <c r="F5" s="16" t="s">
        <v>511</v>
      </c>
      <c r="G5" s="16" t="s">
        <v>504</v>
      </c>
    </row>
    <row r="6" spans="1:12" ht="22.05" customHeight="1" x14ac:dyDescent="0.3">
      <c r="A6" s="101">
        <v>46300</v>
      </c>
      <c r="B6" s="16" t="s">
        <v>997</v>
      </c>
      <c r="C6" s="16" t="s">
        <v>998</v>
      </c>
      <c r="D6" s="49">
        <v>1500</v>
      </c>
      <c r="E6" s="16" t="s">
        <v>970</v>
      </c>
      <c r="F6" s="16" t="s">
        <v>511</v>
      </c>
      <c r="G6" s="16" t="s">
        <v>999</v>
      </c>
    </row>
    <row r="7" spans="1:12" ht="22.05" customHeight="1" x14ac:dyDescent="0.3">
      <c r="A7" s="101">
        <v>46302</v>
      </c>
      <c r="B7" s="16" t="s">
        <v>1000</v>
      </c>
      <c r="C7" s="16" t="s">
        <v>1001</v>
      </c>
      <c r="D7" s="49">
        <v>5000</v>
      </c>
      <c r="E7" s="16" t="s">
        <v>966</v>
      </c>
      <c r="F7" s="16" t="s">
        <v>511</v>
      </c>
      <c r="G7" s="16" t="s">
        <v>981</v>
      </c>
    </row>
    <row r="8" spans="1:12" ht="22.05" customHeight="1" x14ac:dyDescent="0.3">
      <c r="A8" s="101">
        <v>46305</v>
      </c>
      <c r="B8" s="16" t="s">
        <v>1002</v>
      </c>
      <c r="C8" s="16" t="s">
        <v>1003</v>
      </c>
      <c r="D8" s="49">
        <v>500</v>
      </c>
      <c r="E8" s="16" t="s">
        <v>970</v>
      </c>
      <c r="F8" s="16" t="s">
        <v>511</v>
      </c>
      <c r="G8" s="16" t="s">
        <v>994</v>
      </c>
    </row>
    <row r="9" spans="1:12" ht="22.05" customHeight="1" x14ac:dyDescent="0.3">
      <c r="A9" s="101">
        <v>46307</v>
      </c>
      <c r="B9" s="16" t="s">
        <v>1004</v>
      </c>
      <c r="C9" s="16" t="s">
        <v>1005</v>
      </c>
      <c r="D9" s="49">
        <v>800</v>
      </c>
      <c r="E9" s="16" t="s">
        <v>970</v>
      </c>
      <c r="F9" s="16" t="s">
        <v>511</v>
      </c>
      <c r="G9" s="16" t="s">
        <v>994</v>
      </c>
    </row>
    <row r="10" spans="1:12" ht="22.05" customHeight="1" x14ac:dyDescent="0.3">
      <c r="A10" s="101">
        <v>46310</v>
      </c>
      <c r="B10" s="16" t="s">
        <v>995</v>
      </c>
      <c r="C10" s="16" t="s">
        <v>996</v>
      </c>
      <c r="D10" s="49">
        <v>2500</v>
      </c>
      <c r="E10" s="16" t="s">
        <v>974</v>
      </c>
      <c r="F10" s="16" t="s">
        <v>511</v>
      </c>
      <c r="G10" s="16" t="s">
        <v>504</v>
      </c>
    </row>
    <row r="11" spans="1:12" ht="22.05" customHeight="1" x14ac:dyDescent="0.3">
      <c r="A11" s="101">
        <v>46313</v>
      </c>
      <c r="B11" s="16" t="s">
        <v>1006</v>
      </c>
      <c r="C11" s="16" t="s">
        <v>996</v>
      </c>
      <c r="D11" s="49">
        <v>1200</v>
      </c>
      <c r="E11" s="16" t="s">
        <v>970</v>
      </c>
      <c r="F11" s="16" t="s">
        <v>511</v>
      </c>
      <c r="G11" s="16" t="s">
        <v>1007</v>
      </c>
    </row>
    <row r="12" spans="1:12" ht="22.05" customHeight="1" x14ac:dyDescent="0.3">
      <c r="A12" s="101">
        <v>46315</v>
      </c>
      <c r="B12" s="16" t="s">
        <v>1008</v>
      </c>
      <c r="C12" s="16" t="s">
        <v>1009</v>
      </c>
      <c r="D12" s="49">
        <v>2000</v>
      </c>
      <c r="E12" s="16" t="s">
        <v>1010</v>
      </c>
      <c r="F12" s="16" t="s">
        <v>511</v>
      </c>
      <c r="G12" s="16" t="s">
        <v>1011</v>
      </c>
    </row>
    <row r="13" spans="1:12" ht="22.05" customHeight="1" x14ac:dyDescent="0.3">
      <c r="A13" s="101">
        <v>46317</v>
      </c>
      <c r="B13" s="16" t="s">
        <v>1012</v>
      </c>
      <c r="C13" s="16" t="s">
        <v>1003</v>
      </c>
      <c r="D13" s="49">
        <v>300</v>
      </c>
      <c r="E13" s="16" t="s">
        <v>970</v>
      </c>
      <c r="F13" s="16" t="s">
        <v>511</v>
      </c>
      <c r="G13" s="16" t="s">
        <v>994</v>
      </c>
    </row>
    <row r="14" spans="1:12" ht="22.05" customHeight="1" x14ac:dyDescent="0.3">
      <c r="A14" s="101">
        <v>46320</v>
      </c>
      <c r="B14" s="16" t="s">
        <v>1013</v>
      </c>
      <c r="C14" s="16" t="s">
        <v>1014</v>
      </c>
      <c r="D14" s="49">
        <v>800</v>
      </c>
      <c r="E14" s="16" t="s">
        <v>974</v>
      </c>
      <c r="F14" s="16" t="s">
        <v>511</v>
      </c>
      <c r="G14" s="16" t="s">
        <v>1015</v>
      </c>
    </row>
    <row r="15" spans="1:12" ht="22.05" customHeight="1" x14ac:dyDescent="0.3">
      <c r="A15" s="101">
        <v>46323</v>
      </c>
      <c r="B15" s="16" t="s">
        <v>995</v>
      </c>
      <c r="C15" s="16" t="s">
        <v>996</v>
      </c>
      <c r="D15" s="49">
        <v>2500</v>
      </c>
      <c r="E15" s="16" t="s">
        <v>974</v>
      </c>
      <c r="F15" s="16" t="s">
        <v>529</v>
      </c>
      <c r="G15" s="16" t="s">
        <v>504</v>
      </c>
    </row>
    <row r="16" spans="1:12" ht="22.05" customHeight="1" x14ac:dyDescent="0.3">
      <c r="A16" s="101">
        <v>46325</v>
      </c>
      <c r="B16" s="16" t="s">
        <v>1016</v>
      </c>
      <c r="C16" s="16" t="s">
        <v>1005</v>
      </c>
      <c r="D16" s="49">
        <v>350</v>
      </c>
      <c r="E16" s="16" t="s">
        <v>966</v>
      </c>
      <c r="F16" s="16" t="s">
        <v>529</v>
      </c>
      <c r="G16" s="16" t="s">
        <v>994</v>
      </c>
    </row>
    <row r="17" spans="1:7" x14ac:dyDescent="0.3">
      <c r="A17" s="79" t="s">
        <v>418</v>
      </c>
      <c r="B17" s="79"/>
      <c r="C17" s="79"/>
      <c r="D17" s="80">
        <f>SUM(D4:D16)</f>
        <v>30450</v>
      </c>
      <c r="E17" s="79"/>
      <c r="F17" s="79"/>
      <c r="G17" s="79"/>
    </row>
  </sheetData>
  <mergeCells count="1">
    <mergeCell ref="A1:L1"/>
  </mergeCells>
  <hyperlinks>
    <hyperlink ref="A1" location="'Navigation'!A1" tooltip="Back" display="'Navigation'!A1" xr:uid="{9887D402-CA8A-426A-8B57-9828B8B3382C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A554-14B1-4FC5-AC76-4B7C8D63F2E0}">
  <sheetPr codeName="Sheet43"/>
  <dimension ref="A1:L14"/>
  <sheetViews>
    <sheetView workbookViewId="0"/>
  </sheetViews>
  <sheetFormatPr defaultRowHeight="14.4" x14ac:dyDescent="0.3"/>
  <cols>
    <col min="1" max="1" width="22.77734375" customWidth="1"/>
    <col min="2" max="7" width="15.77734375" customWidth="1"/>
  </cols>
  <sheetData>
    <row r="1" spans="1:12" ht="30" customHeight="1" x14ac:dyDescent="0.3">
      <c r="A1" s="158" t="s">
        <v>1163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1017</v>
      </c>
      <c r="B3" s="48" t="s">
        <v>1018</v>
      </c>
      <c r="C3" s="48" t="s">
        <v>1019</v>
      </c>
      <c r="D3" s="48" t="s">
        <v>1020</v>
      </c>
      <c r="E3" s="48" t="s">
        <v>1021</v>
      </c>
      <c r="F3" s="48" t="s">
        <v>1022</v>
      </c>
      <c r="G3" s="48" t="s">
        <v>181</v>
      </c>
      <c r="H3" s="2"/>
      <c r="I3" s="2"/>
      <c r="J3" s="2"/>
      <c r="K3" s="2"/>
      <c r="L3" s="2"/>
    </row>
    <row r="4" spans="1:12" ht="22.05" customHeight="1" x14ac:dyDescent="0.3">
      <c r="A4" s="38" t="s">
        <v>1023</v>
      </c>
      <c r="B4" s="49">
        <v>200000</v>
      </c>
      <c r="C4" s="49">
        <v>5000</v>
      </c>
      <c r="D4" s="16" t="s">
        <v>1024</v>
      </c>
      <c r="E4" s="49">
        <v>60000</v>
      </c>
      <c r="F4" s="49">
        <v>140000</v>
      </c>
      <c r="G4" s="16" t="s">
        <v>1025</v>
      </c>
    </row>
    <row r="5" spans="1:12" ht="22.05" customHeight="1" x14ac:dyDescent="0.3">
      <c r="A5" s="38" t="s">
        <v>1026</v>
      </c>
      <c r="B5" s="49">
        <v>50000</v>
      </c>
      <c r="C5" s="49">
        <v>2000</v>
      </c>
      <c r="D5" s="16" t="s">
        <v>1027</v>
      </c>
      <c r="E5" s="49">
        <v>20000</v>
      </c>
      <c r="F5" s="49">
        <v>30000</v>
      </c>
      <c r="G5" s="16" t="s">
        <v>1025</v>
      </c>
    </row>
    <row r="6" spans="1:12" ht="22.05" customHeight="1" x14ac:dyDescent="0.3">
      <c r="A6" s="38" t="s">
        <v>1028</v>
      </c>
      <c r="B6" s="49">
        <v>30000</v>
      </c>
      <c r="C6" s="49">
        <v>1500</v>
      </c>
      <c r="D6" s="16" t="s">
        <v>1029</v>
      </c>
      <c r="E6" s="49">
        <v>15000</v>
      </c>
      <c r="F6" s="49">
        <v>15000</v>
      </c>
      <c r="G6" s="16" t="s">
        <v>1025</v>
      </c>
    </row>
    <row r="7" spans="1:12" ht="22.05" customHeight="1" x14ac:dyDescent="0.3">
      <c r="A7" s="38" t="s">
        <v>1030</v>
      </c>
      <c r="B7" s="49">
        <v>0</v>
      </c>
      <c r="C7" s="49">
        <v>0</v>
      </c>
      <c r="D7" s="16" t="s">
        <v>283</v>
      </c>
      <c r="E7" s="49">
        <v>0</v>
      </c>
      <c r="F7" s="49">
        <v>0</v>
      </c>
      <c r="G7" s="16" t="s">
        <v>511</v>
      </c>
    </row>
    <row r="10" spans="1:12" x14ac:dyDescent="0.3">
      <c r="A10" s="31" t="s">
        <v>1031</v>
      </c>
    </row>
    <row r="11" spans="1:12" x14ac:dyDescent="0.3">
      <c r="A11" t="s">
        <v>1032</v>
      </c>
      <c r="C11">
        <v>100000</v>
      </c>
    </row>
    <row r="12" spans="1:12" x14ac:dyDescent="0.3">
      <c r="A12" t="s">
        <v>1033</v>
      </c>
      <c r="C12">
        <v>10</v>
      </c>
    </row>
    <row r="13" spans="1:12" x14ac:dyDescent="0.3">
      <c r="A13" t="s">
        <v>1034</v>
      </c>
      <c r="C13">
        <v>12</v>
      </c>
    </row>
    <row r="14" spans="1:12" x14ac:dyDescent="0.3">
      <c r="A14" t="s">
        <v>1035</v>
      </c>
      <c r="C14" s="81">
        <f>PMT(C12/100/12,C13,-C11)</f>
        <v>8791.5887230009594</v>
      </c>
    </row>
  </sheetData>
  <mergeCells count="1">
    <mergeCell ref="A1:L1"/>
  </mergeCells>
  <hyperlinks>
    <hyperlink ref="A1" location="'Navigation'!A1" tooltip="Back" display="'Navigation'!A1" xr:uid="{A709429B-F6DD-44A0-8693-AAE808B6B869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FEB6-101A-4857-9EA3-A5ABC17CEE03}">
  <sheetPr codeName="Sheet44"/>
  <dimension ref="A1:L21"/>
  <sheetViews>
    <sheetView workbookViewId="0"/>
  </sheetViews>
  <sheetFormatPr defaultRowHeight="14.4" x14ac:dyDescent="0.3"/>
  <cols>
    <col min="1" max="1" width="22.77734375" customWidth="1"/>
    <col min="2" max="8" width="8.77734375" customWidth="1"/>
    <col min="9" max="9" width="10.77734375" customWidth="1"/>
  </cols>
  <sheetData>
    <row r="1" spans="1:12" ht="30" customHeight="1" x14ac:dyDescent="0.3">
      <c r="A1" s="158" t="s">
        <v>1164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268</v>
      </c>
      <c r="B3" s="48" t="s">
        <v>143</v>
      </c>
      <c r="C3" s="48" t="s">
        <v>144</v>
      </c>
      <c r="D3" s="48" t="s">
        <v>145</v>
      </c>
      <c r="E3" s="48" t="s">
        <v>146</v>
      </c>
      <c r="F3" s="48" t="s">
        <v>147</v>
      </c>
      <c r="G3" s="48" t="s">
        <v>148</v>
      </c>
      <c r="H3" s="48" t="s">
        <v>149</v>
      </c>
      <c r="I3" s="48" t="s">
        <v>180</v>
      </c>
      <c r="J3" s="2"/>
      <c r="K3" s="2"/>
      <c r="L3" s="2"/>
    </row>
    <row r="4" spans="1:12" ht="25.05" customHeight="1" x14ac:dyDescent="0.35">
      <c r="A4" s="27" t="s">
        <v>182</v>
      </c>
      <c r="B4" s="28" t="s">
        <v>155</v>
      </c>
      <c r="C4" s="28" t="s">
        <v>155</v>
      </c>
      <c r="D4" s="28" t="s">
        <v>155</v>
      </c>
      <c r="E4" s="28" t="s">
        <v>155</v>
      </c>
      <c r="F4" s="28" t="s">
        <v>155</v>
      </c>
      <c r="G4" s="28" t="s">
        <v>155</v>
      </c>
      <c r="H4" s="28" t="s">
        <v>155</v>
      </c>
      <c r="I4" s="84">
        <f t="shared" ref="I4:I21" si="0">IFERROR(COUNTIF(B4:H4,"✅")/7,0)</f>
        <v>0</v>
      </c>
    </row>
    <row r="5" spans="1:12" ht="25.05" customHeight="1" x14ac:dyDescent="0.35">
      <c r="A5" s="27" t="s">
        <v>1036</v>
      </c>
      <c r="B5" s="28" t="s">
        <v>155</v>
      </c>
      <c r="C5" s="28" t="s">
        <v>155</v>
      </c>
      <c r="D5" s="28" t="s">
        <v>155</v>
      </c>
      <c r="E5" s="28" t="s">
        <v>155</v>
      </c>
      <c r="F5" s="28" t="s">
        <v>155</v>
      </c>
      <c r="G5" s="28" t="s">
        <v>155</v>
      </c>
      <c r="H5" s="28" t="s">
        <v>155</v>
      </c>
      <c r="I5" s="84">
        <f t="shared" si="0"/>
        <v>0</v>
      </c>
    </row>
    <row r="6" spans="1:12" ht="25.05" customHeight="1" x14ac:dyDescent="0.35">
      <c r="A6" s="27" t="s">
        <v>184</v>
      </c>
      <c r="B6" s="28" t="s">
        <v>155</v>
      </c>
      <c r="C6" s="28" t="s">
        <v>155</v>
      </c>
      <c r="D6" s="28" t="s">
        <v>155</v>
      </c>
      <c r="E6" s="28" t="s">
        <v>155</v>
      </c>
      <c r="F6" s="28" t="s">
        <v>155</v>
      </c>
      <c r="G6" s="28" t="s">
        <v>155</v>
      </c>
      <c r="H6" s="28" t="s">
        <v>155</v>
      </c>
      <c r="I6" s="84">
        <f t="shared" si="0"/>
        <v>0</v>
      </c>
    </row>
    <row r="7" spans="1:12" ht="25.05" customHeight="1" x14ac:dyDescent="0.35">
      <c r="A7" s="27" t="s">
        <v>1037</v>
      </c>
      <c r="B7" s="28" t="s">
        <v>155</v>
      </c>
      <c r="C7" s="28" t="s">
        <v>155</v>
      </c>
      <c r="D7" s="28" t="s">
        <v>155</v>
      </c>
      <c r="E7" s="28" t="s">
        <v>155</v>
      </c>
      <c r="F7" s="28" t="s">
        <v>155</v>
      </c>
      <c r="G7" s="28" t="s">
        <v>155</v>
      </c>
      <c r="H7" s="28" t="s">
        <v>155</v>
      </c>
      <c r="I7" s="84">
        <f t="shared" si="0"/>
        <v>0</v>
      </c>
    </row>
    <row r="8" spans="1:12" ht="25.05" customHeight="1" x14ac:dyDescent="0.35">
      <c r="A8" s="27" t="s">
        <v>185</v>
      </c>
      <c r="B8" s="28" t="s">
        <v>155</v>
      </c>
      <c r="C8" s="28" t="s">
        <v>155</v>
      </c>
      <c r="D8" s="28" t="s">
        <v>155</v>
      </c>
      <c r="E8" s="28" t="s">
        <v>155</v>
      </c>
      <c r="F8" s="28" t="s">
        <v>155</v>
      </c>
      <c r="G8" s="28" t="s">
        <v>155</v>
      </c>
      <c r="H8" s="28" t="s">
        <v>155</v>
      </c>
      <c r="I8" s="84">
        <f t="shared" si="0"/>
        <v>0</v>
      </c>
    </row>
    <row r="9" spans="1:12" ht="25.05" customHeight="1" x14ac:dyDescent="0.35">
      <c r="A9" s="27" t="s">
        <v>186</v>
      </c>
      <c r="B9" s="28" t="s">
        <v>155</v>
      </c>
      <c r="C9" s="28" t="s">
        <v>155</v>
      </c>
      <c r="D9" s="28" t="s">
        <v>155</v>
      </c>
      <c r="E9" s="28" t="s">
        <v>155</v>
      </c>
      <c r="F9" s="28" t="s">
        <v>155</v>
      </c>
      <c r="G9" s="28" t="s">
        <v>155</v>
      </c>
      <c r="H9" s="28" t="s">
        <v>155</v>
      </c>
      <c r="I9" s="84">
        <f t="shared" si="0"/>
        <v>0</v>
      </c>
    </row>
    <row r="10" spans="1:12" ht="25.05" customHeight="1" x14ac:dyDescent="0.35">
      <c r="A10" s="27" t="s">
        <v>187</v>
      </c>
      <c r="B10" s="28" t="s">
        <v>155</v>
      </c>
      <c r="C10" s="28" t="s">
        <v>155</v>
      </c>
      <c r="D10" s="28" t="s">
        <v>155</v>
      </c>
      <c r="E10" s="28" t="s">
        <v>155</v>
      </c>
      <c r="F10" s="28" t="s">
        <v>155</v>
      </c>
      <c r="G10" s="28" t="s">
        <v>155</v>
      </c>
      <c r="H10" s="28" t="s">
        <v>155</v>
      </c>
      <c r="I10" s="84">
        <f t="shared" si="0"/>
        <v>0</v>
      </c>
    </row>
    <row r="11" spans="1:12" ht="25.05" customHeight="1" x14ac:dyDescent="0.35">
      <c r="A11" s="27" t="s">
        <v>188</v>
      </c>
      <c r="B11" s="28" t="s">
        <v>155</v>
      </c>
      <c r="C11" s="28" t="s">
        <v>155</v>
      </c>
      <c r="D11" s="28" t="s">
        <v>155</v>
      </c>
      <c r="E11" s="28" t="s">
        <v>155</v>
      </c>
      <c r="F11" s="28" t="s">
        <v>155</v>
      </c>
      <c r="G11" s="28" t="s">
        <v>155</v>
      </c>
      <c r="H11" s="28" t="s">
        <v>155</v>
      </c>
      <c r="I11" s="84">
        <f t="shared" si="0"/>
        <v>0</v>
      </c>
    </row>
    <row r="12" spans="1:12" ht="25.05" customHeight="1" x14ac:dyDescent="0.35">
      <c r="A12" s="27" t="s">
        <v>189</v>
      </c>
      <c r="B12" s="28" t="s">
        <v>155</v>
      </c>
      <c r="C12" s="28" t="s">
        <v>155</v>
      </c>
      <c r="D12" s="28" t="s">
        <v>155</v>
      </c>
      <c r="E12" s="28" t="s">
        <v>155</v>
      </c>
      <c r="F12" s="28" t="s">
        <v>155</v>
      </c>
      <c r="G12" s="28" t="s">
        <v>155</v>
      </c>
      <c r="H12" s="28" t="s">
        <v>155</v>
      </c>
      <c r="I12" s="84">
        <f t="shared" si="0"/>
        <v>0</v>
      </c>
    </row>
    <row r="13" spans="1:12" ht="25.05" customHeight="1" x14ac:dyDescent="0.35">
      <c r="A13" s="27" t="s">
        <v>1038</v>
      </c>
      <c r="B13" s="28" t="s">
        <v>155</v>
      </c>
      <c r="C13" s="28" t="s">
        <v>155</v>
      </c>
      <c r="D13" s="28" t="s">
        <v>155</v>
      </c>
      <c r="E13" s="28" t="s">
        <v>155</v>
      </c>
      <c r="F13" s="28" t="s">
        <v>155</v>
      </c>
      <c r="G13" s="28" t="s">
        <v>155</v>
      </c>
      <c r="H13" s="28" t="s">
        <v>155</v>
      </c>
      <c r="I13" s="84">
        <f t="shared" si="0"/>
        <v>0</v>
      </c>
    </row>
    <row r="14" spans="1:12" ht="25.05" customHeight="1" x14ac:dyDescent="0.35">
      <c r="A14" s="27" t="s">
        <v>190</v>
      </c>
      <c r="B14" s="28" t="s">
        <v>155</v>
      </c>
      <c r="C14" s="28" t="s">
        <v>155</v>
      </c>
      <c r="D14" s="28" t="s">
        <v>155</v>
      </c>
      <c r="E14" s="28" t="s">
        <v>155</v>
      </c>
      <c r="F14" s="28" t="s">
        <v>155</v>
      </c>
      <c r="G14" s="28" t="s">
        <v>155</v>
      </c>
      <c r="H14" s="28" t="s">
        <v>155</v>
      </c>
      <c r="I14" s="84">
        <f t="shared" si="0"/>
        <v>0</v>
      </c>
    </row>
    <row r="15" spans="1:12" ht="25.05" customHeight="1" x14ac:dyDescent="0.35">
      <c r="A15" s="27" t="s">
        <v>1039</v>
      </c>
      <c r="B15" s="28" t="s">
        <v>155</v>
      </c>
      <c r="C15" s="28" t="s">
        <v>155</v>
      </c>
      <c r="D15" s="28" t="s">
        <v>155</v>
      </c>
      <c r="E15" s="28" t="s">
        <v>155</v>
      </c>
      <c r="F15" s="28" t="s">
        <v>155</v>
      </c>
      <c r="G15" s="28" t="s">
        <v>155</v>
      </c>
      <c r="H15" s="28" t="s">
        <v>155</v>
      </c>
      <c r="I15" s="84">
        <f t="shared" si="0"/>
        <v>0</v>
      </c>
    </row>
    <row r="16" spans="1:12" ht="25.05" customHeight="1" x14ac:dyDescent="0.35">
      <c r="A16" s="27" t="s">
        <v>1040</v>
      </c>
      <c r="B16" s="28" t="s">
        <v>155</v>
      </c>
      <c r="C16" s="28" t="s">
        <v>155</v>
      </c>
      <c r="D16" s="28" t="s">
        <v>155</v>
      </c>
      <c r="E16" s="28" t="s">
        <v>155</v>
      </c>
      <c r="F16" s="28" t="s">
        <v>155</v>
      </c>
      <c r="G16" s="28" t="s">
        <v>155</v>
      </c>
      <c r="H16" s="28" t="s">
        <v>155</v>
      </c>
      <c r="I16" s="84">
        <f t="shared" si="0"/>
        <v>0</v>
      </c>
    </row>
    <row r="17" spans="1:9" ht="25.05" customHeight="1" x14ac:dyDescent="0.35">
      <c r="A17" s="27" t="s">
        <v>1041</v>
      </c>
      <c r="B17" s="28" t="s">
        <v>155</v>
      </c>
      <c r="C17" s="28" t="s">
        <v>155</v>
      </c>
      <c r="D17" s="28" t="s">
        <v>155</v>
      </c>
      <c r="E17" s="28" t="s">
        <v>155</v>
      </c>
      <c r="F17" s="28" t="s">
        <v>155</v>
      </c>
      <c r="G17" s="28" t="s">
        <v>155</v>
      </c>
      <c r="H17" s="28" t="s">
        <v>155</v>
      </c>
      <c r="I17" s="84">
        <f t="shared" si="0"/>
        <v>0</v>
      </c>
    </row>
    <row r="18" spans="1:9" ht="25.05" customHeight="1" x14ac:dyDescent="0.35">
      <c r="A18" s="27" t="s">
        <v>1042</v>
      </c>
      <c r="B18" s="28" t="s">
        <v>155</v>
      </c>
      <c r="C18" s="28" t="s">
        <v>155</v>
      </c>
      <c r="D18" s="28" t="s">
        <v>155</v>
      </c>
      <c r="E18" s="28" t="s">
        <v>155</v>
      </c>
      <c r="F18" s="28" t="s">
        <v>155</v>
      </c>
      <c r="G18" s="28" t="s">
        <v>155</v>
      </c>
      <c r="H18" s="28" t="s">
        <v>155</v>
      </c>
      <c r="I18" s="84">
        <f t="shared" si="0"/>
        <v>0</v>
      </c>
    </row>
    <row r="19" spans="1:9" ht="25.05" customHeight="1" x14ac:dyDescent="0.35">
      <c r="A19" s="27" t="s">
        <v>1043</v>
      </c>
      <c r="B19" s="28" t="s">
        <v>155</v>
      </c>
      <c r="C19" s="28" t="s">
        <v>155</v>
      </c>
      <c r="D19" s="28" t="s">
        <v>155</v>
      </c>
      <c r="E19" s="28" t="s">
        <v>155</v>
      </c>
      <c r="F19" s="28" t="s">
        <v>155</v>
      </c>
      <c r="G19" s="28" t="s">
        <v>155</v>
      </c>
      <c r="H19" s="28" t="s">
        <v>155</v>
      </c>
      <c r="I19" s="84">
        <f t="shared" si="0"/>
        <v>0</v>
      </c>
    </row>
    <row r="20" spans="1:9" ht="25.05" customHeight="1" x14ac:dyDescent="0.35">
      <c r="A20" s="27" t="s">
        <v>194</v>
      </c>
      <c r="B20" s="28" t="s">
        <v>155</v>
      </c>
      <c r="C20" s="28" t="s">
        <v>155</v>
      </c>
      <c r="D20" s="28" t="s">
        <v>155</v>
      </c>
      <c r="E20" s="28" t="s">
        <v>155</v>
      </c>
      <c r="F20" s="28" t="s">
        <v>155</v>
      </c>
      <c r="G20" s="28" t="s">
        <v>155</v>
      </c>
      <c r="H20" s="28" t="s">
        <v>155</v>
      </c>
      <c r="I20" s="84">
        <f t="shared" si="0"/>
        <v>0</v>
      </c>
    </row>
    <row r="21" spans="1:9" ht="25.05" customHeight="1" x14ac:dyDescent="0.35">
      <c r="A21" s="27" t="s">
        <v>1044</v>
      </c>
      <c r="B21" s="28" t="s">
        <v>155</v>
      </c>
      <c r="C21" s="28" t="s">
        <v>155</v>
      </c>
      <c r="D21" s="28" t="s">
        <v>155</v>
      </c>
      <c r="E21" s="28" t="s">
        <v>155</v>
      </c>
      <c r="F21" s="28" t="s">
        <v>155</v>
      </c>
      <c r="G21" s="28" t="s">
        <v>155</v>
      </c>
      <c r="H21" s="28" t="s">
        <v>155</v>
      </c>
      <c r="I21" s="84">
        <f t="shared" si="0"/>
        <v>0</v>
      </c>
    </row>
  </sheetData>
  <mergeCells count="1">
    <mergeCell ref="A1:L1"/>
  </mergeCells>
  <dataValidations count="1">
    <dataValidation type="list" allowBlank="1" showInputMessage="1" showErrorMessage="1" sqref="B4:H21" xr:uid="{B48EC9B2-59B9-433C-A624-A4F575689C42}">
      <formula1>"✅,☐"</formula1>
    </dataValidation>
  </dataValidations>
  <hyperlinks>
    <hyperlink ref="A1" location="'Navigation'!A1" tooltip="Back" display="'Navigation'!A1" xr:uid="{BD6AB82A-84F7-470D-9675-28EC839A76BF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D110-EB9D-4D78-8BF4-7AD7B452B291}">
  <sheetPr codeName="Sheet45"/>
  <dimension ref="A1:L25"/>
  <sheetViews>
    <sheetView workbookViewId="0">
      <selection activeCell="B8" sqref="B8"/>
    </sheetView>
  </sheetViews>
  <sheetFormatPr defaultRowHeight="14.4" x14ac:dyDescent="0.3"/>
  <cols>
    <col min="1" max="1" width="6.77734375" customWidth="1"/>
    <col min="2" max="2" width="22.77734375" customWidth="1"/>
    <col min="3" max="3" width="18.77734375" customWidth="1"/>
    <col min="4" max="5" width="10.77734375" customWidth="1"/>
    <col min="6" max="6" width="12.77734375" customWidth="1"/>
    <col min="7" max="7" width="10.77734375" customWidth="1"/>
  </cols>
  <sheetData>
    <row r="1" spans="1:12" ht="30" customHeight="1" x14ac:dyDescent="0.3">
      <c r="A1" s="158" t="s">
        <v>1165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153</v>
      </c>
      <c r="B3" s="48" t="s">
        <v>414</v>
      </c>
      <c r="C3" s="48" t="s">
        <v>1045</v>
      </c>
      <c r="D3" s="48" t="s">
        <v>416</v>
      </c>
      <c r="E3" s="48" t="s">
        <v>417</v>
      </c>
      <c r="F3" s="48" t="s">
        <v>418</v>
      </c>
      <c r="G3" s="48" t="s">
        <v>142</v>
      </c>
      <c r="H3" s="2"/>
      <c r="I3" s="2"/>
      <c r="J3" s="2"/>
      <c r="K3" s="2"/>
      <c r="L3" s="2"/>
    </row>
    <row r="4" spans="1:12" ht="19.95" customHeight="1" x14ac:dyDescent="0.3">
      <c r="A4" s="16" t="s">
        <v>155</v>
      </c>
      <c r="B4" s="16" t="s">
        <v>437</v>
      </c>
      <c r="C4" s="16" t="s">
        <v>1046</v>
      </c>
      <c r="D4" s="16" t="s">
        <v>425</v>
      </c>
      <c r="E4" s="49">
        <v>40</v>
      </c>
      <c r="F4" s="49">
        <v>80</v>
      </c>
      <c r="G4" s="37">
        <v>0.41666666666666669</v>
      </c>
    </row>
    <row r="5" spans="1:12" ht="19.95" customHeight="1" x14ac:dyDescent="0.3">
      <c r="A5" s="16" t="s">
        <v>155</v>
      </c>
      <c r="B5" s="16" t="s">
        <v>439</v>
      </c>
      <c r="C5" s="16" t="s">
        <v>1046</v>
      </c>
      <c r="D5" s="16" t="s">
        <v>440</v>
      </c>
      <c r="E5" s="49">
        <v>30</v>
      </c>
      <c r="F5" s="49">
        <v>90</v>
      </c>
      <c r="G5" s="37">
        <v>0.4201388888888889</v>
      </c>
    </row>
    <row r="6" spans="1:12" ht="19.95" customHeight="1" x14ac:dyDescent="0.3">
      <c r="A6" s="16" t="s">
        <v>155</v>
      </c>
      <c r="B6" s="16" t="s">
        <v>441</v>
      </c>
      <c r="C6" s="16" t="s">
        <v>1046</v>
      </c>
      <c r="D6" s="16" t="s">
        <v>425</v>
      </c>
      <c r="E6" s="49">
        <v>25</v>
      </c>
      <c r="F6" s="49">
        <v>50</v>
      </c>
      <c r="G6" s="37">
        <v>0.4236111111111111</v>
      </c>
    </row>
    <row r="7" spans="1:12" ht="19.95" customHeight="1" x14ac:dyDescent="0.3">
      <c r="A7" s="16" t="s">
        <v>155</v>
      </c>
      <c r="B7" s="16" t="s">
        <v>442</v>
      </c>
      <c r="C7" s="16" t="s">
        <v>1046</v>
      </c>
      <c r="D7" s="16" t="s">
        <v>443</v>
      </c>
      <c r="E7" s="49">
        <v>40</v>
      </c>
      <c r="F7" s="49">
        <v>40</v>
      </c>
      <c r="G7" s="37">
        <v>0.42708333333333331</v>
      </c>
    </row>
    <row r="8" spans="1:12" ht="19.95" customHeight="1" x14ac:dyDescent="0.3">
      <c r="A8" s="16" t="s">
        <v>155</v>
      </c>
      <c r="B8" s="16" t="s">
        <v>444</v>
      </c>
      <c r="C8" s="16" t="s">
        <v>1046</v>
      </c>
      <c r="D8" s="16" t="s">
        <v>435</v>
      </c>
      <c r="E8" s="49">
        <v>30</v>
      </c>
      <c r="F8" s="49">
        <v>30</v>
      </c>
      <c r="G8" s="37">
        <v>0.43055555555555558</v>
      </c>
    </row>
    <row r="9" spans="1:12" ht="19.95" customHeight="1" x14ac:dyDescent="0.3">
      <c r="A9" s="16" t="s">
        <v>155</v>
      </c>
      <c r="B9" s="16" t="s">
        <v>445</v>
      </c>
      <c r="C9" s="16" t="s">
        <v>1046</v>
      </c>
      <c r="D9" s="16" t="s">
        <v>435</v>
      </c>
      <c r="E9" s="49">
        <v>40</v>
      </c>
      <c r="F9" s="49">
        <v>40</v>
      </c>
      <c r="G9" s="37">
        <v>0.43402777777777779</v>
      </c>
    </row>
    <row r="10" spans="1:12" ht="19.95" customHeight="1" x14ac:dyDescent="0.3">
      <c r="A10" s="16" t="s">
        <v>155</v>
      </c>
      <c r="B10" s="16" t="s">
        <v>446</v>
      </c>
      <c r="C10" s="16" t="s">
        <v>1047</v>
      </c>
      <c r="D10" s="16" t="s">
        <v>448</v>
      </c>
      <c r="E10" s="49">
        <v>50</v>
      </c>
      <c r="F10" s="49">
        <v>50</v>
      </c>
      <c r="G10" s="37">
        <v>0.44444444444444442</v>
      </c>
    </row>
    <row r="11" spans="1:12" ht="19.95" customHeight="1" x14ac:dyDescent="0.3">
      <c r="A11" s="16" t="s">
        <v>155</v>
      </c>
      <c r="B11" s="16" t="s">
        <v>382</v>
      </c>
      <c r="C11" s="16" t="s">
        <v>1047</v>
      </c>
      <c r="D11" s="16" t="s">
        <v>427</v>
      </c>
      <c r="E11" s="49">
        <v>180</v>
      </c>
      <c r="F11" s="49">
        <v>180</v>
      </c>
      <c r="G11" s="37">
        <v>0.44791666666666669</v>
      </c>
    </row>
    <row r="12" spans="1:12" ht="19.95" customHeight="1" x14ac:dyDescent="0.3">
      <c r="A12" s="16" t="s">
        <v>155</v>
      </c>
      <c r="B12" s="16" t="s">
        <v>383</v>
      </c>
      <c r="C12" s="16" t="s">
        <v>1047</v>
      </c>
      <c r="D12" s="16" t="s">
        <v>427</v>
      </c>
      <c r="E12" s="49">
        <v>80</v>
      </c>
      <c r="F12" s="49">
        <v>80</v>
      </c>
      <c r="G12" s="37">
        <v>0.4513888888888889</v>
      </c>
    </row>
    <row r="13" spans="1:12" ht="19.95" customHeight="1" x14ac:dyDescent="0.3">
      <c r="A13" s="16" t="s">
        <v>155</v>
      </c>
      <c r="B13" s="16" t="s">
        <v>430</v>
      </c>
      <c r="C13" s="16" t="s">
        <v>1048</v>
      </c>
      <c r="D13" s="16" t="s">
        <v>432</v>
      </c>
      <c r="E13" s="49">
        <v>60</v>
      </c>
      <c r="F13" s="49">
        <v>300</v>
      </c>
      <c r="G13" s="37">
        <v>0.45833333333333331</v>
      </c>
    </row>
    <row r="14" spans="1:12" ht="19.95" customHeight="1" x14ac:dyDescent="0.3">
      <c r="A14" s="16" t="s">
        <v>155</v>
      </c>
      <c r="B14" s="16" t="s">
        <v>433</v>
      </c>
      <c r="C14" s="16" t="s">
        <v>1048</v>
      </c>
      <c r="D14" s="16" t="s">
        <v>425</v>
      </c>
      <c r="E14" s="49">
        <v>80</v>
      </c>
      <c r="F14" s="49">
        <v>160</v>
      </c>
      <c r="G14" s="37">
        <v>0.46180555555555558</v>
      </c>
    </row>
    <row r="15" spans="1:12" ht="19.95" customHeight="1" x14ac:dyDescent="0.3">
      <c r="A15" s="16" t="s">
        <v>155</v>
      </c>
      <c r="B15" s="16" t="s">
        <v>434</v>
      </c>
      <c r="C15" s="16" t="s">
        <v>1048</v>
      </c>
      <c r="D15" s="16" t="s">
        <v>435</v>
      </c>
      <c r="E15" s="49">
        <v>350</v>
      </c>
      <c r="F15" s="49">
        <v>350</v>
      </c>
      <c r="G15" s="37">
        <v>0.46527777777777779</v>
      </c>
    </row>
    <row r="16" spans="1:12" ht="19.95" customHeight="1" x14ac:dyDescent="0.3">
      <c r="A16" s="16" t="s">
        <v>155</v>
      </c>
      <c r="B16" s="16" t="s">
        <v>436</v>
      </c>
      <c r="C16" s="16" t="s">
        <v>1048</v>
      </c>
      <c r="D16" s="16" t="s">
        <v>435</v>
      </c>
      <c r="E16" s="49">
        <v>550</v>
      </c>
      <c r="F16" s="49">
        <v>550</v>
      </c>
      <c r="G16" s="37">
        <v>0.46875</v>
      </c>
    </row>
    <row r="17" spans="1:7" ht="19.95" customHeight="1" x14ac:dyDescent="0.3">
      <c r="A17" s="16" t="s">
        <v>155</v>
      </c>
      <c r="B17" s="16" t="s">
        <v>419</v>
      </c>
      <c r="C17" s="16" t="s">
        <v>1049</v>
      </c>
      <c r="D17" s="16" t="s">
        <v>421</v>
      </c>
      <c r="E17" s="49">
        <v>80</v>
      </c>
      <c r="F17" s="49">
        <v>400</v>
      </c>
      <c r="G17" s="37">
        <v>0.47222222222222221</v>
      </c>
    </row>
    <row r="18" spans="1:7" ht="19.95" customHeight="1" x14ac:dyDescent="0.3">
      <c r="A18" s="16" t="s">
        <v>155</v>
      </c>
      <c r="B18" s="16" t="s">
        <v>422</v>
      </c>
      <c r="C18" s="16" t="s">
        <v>1049</v>
      </c>
      <c r="D18" s="16" t="s">
        <v>421</v>
      </c>
      <c r="E18" s="49">
        <v>45</v>
      </c>
      <c r="F18" s="49">
        <v>225</v>
      </c>
      <c r="G18" s="37">
        <v>0.47569444444444442</v>
      </c>
    </row>
    <row r="19" spans="1:7" ht="19.95" customHeight="1" x14ac:dyDescent="0.3">
      <c r="A19" s="16" t="s">
        <v>155</v>
      </c>
      <c r="B19" s="16" t="s">
        <v>423</v>
      </c>
      <c r="C19" s="16" t="s">
        <v>1049</v>
      </c>
      <c r="D19" s="16" t="s">
        <v>425</v>
      </c>
      <c r="E19" s="49">
        <v>120</v>
      </c>
      <c r="F19" s="49">
        <v>240</v>
      </c>
      <c r="G19" s="37">
        <v>0.47916666666666669</v>
      </c>
    </row>
    <row r="20" spans="1:7" ht="19.95" customHeight="1" x14ac:dyDescent="0.3">
      <c r="A20" s="16" t="s">
        <v>155</v>
      </c>
      <c r="B20" s="16" t="s">
        <v>454</v>
      </c>
      <c r="C20" s="16" t="s">
        <v>1049</v>
      </c>
      <c r="D20" s="16" t="s">
        <v>456</v>
      </c>
      <c r="E20" s="49">
        <v>140</v>
      </c>
      <c r="F20" s="49">
        <v>140</v>
      </c>
      <c r="G20" s="37">
        <v>0.4861111111111111</v>
      </c>
    </row>
    <row r="21" spans="1:7" ht="19.95" customHeight="1" x14ac:dyDescent="0.3">
      <c r="A21" s="16" t="s">
        <v>155</v>
      </c>
      <c r="B21" s="16" t="s">
        <v>457</v>
      </c>
      <c r="C21" s="16" t="s">
        <v>1049</v>
      </c>
      <c r="D21" s="16" t="s">
        <v>427</v>
      </c>
      <c r="E21" s="49">
        <v>25</v>
      </c>
      <c r="F21" s="49">
        <v>25</v>
      </c>
      <c r="G21" s="37">
        <v>0.48958333333333331</v>
      </c>
    </row>
    <row r="22" spans="1:7" ht="19.95" customHeight="1" x14ac:dyDescent="0.3">
      <c r="A22" s="16" t="s">
        <v>155</v>
      </c>
      <c r="B22" s="16" t="s">
        <v>459</v>
      </c>
      <c r="C22" s="16" t="s">
        <v>1049</v>
      </c>
      <c r="D22" s="16" t="s">
        <v>427</v>
      </c>
      <c r="E22" s="49">
        <v>45</v>
      </c>
      <c r="F22" s="49">
        <v>45</v>
      </c>
      <c r="G22" s="37">
        <v>0.49305555555555558</v>
      </c>
    </row>
    <row r="23" spans="1:7" ht="19.95" customHeight="1" x14ac:dyDescent="0.3">
      <c r="A23" s="16" t="s">
        <v>155</v>
      </c>
      <c r="B23" s="16" t="s">
        <v>460</v>
      </c>
      <c r="C23" s="16" t="s">
        <v>1049</v>
      </c>
      <c r="D23" s="16" t="s">
        <v>435</v>
      </c>
      <c r="E23" s="49">
        <v>250</v>
      </c>
      <c r="F23" s="49">
        <v>250</v>
      </c>
      <c r="G23" s="37">
        <v>0.49652777777777779</v>
      </c>
    </row>
    <row r="24" spans="1:7" ht="19.95" customHeight="1" x14ac:dyDescent="0.3">
      <c r="A24" s="16" t="s">
        <v>155</v>
      </c>
      <c r="B24" s="16" t="s">
        <v>452</v>
      </c>
      <c r="C24" s="16" t="s">
        <v>1050</v>
      </c>
      <c r="D24" s="16" t="s">
        <v>448</v>
      </c>
      <c r="E24" s="49">
        <v>80</v>
      </c>
      <c r="F24" s="49">
        <v>80</v>
      </c>
      <c r="G24" s="37">
        <v>0.5</v>
      </c>
    </row>
    <row r="25" spans="1:7" x14ac:dyDescent="0.3">
      <c r="A25" s="31"/>
      <c r="B25" s="31" t="s">
        <v>1051</v>
      </c>
      <c r="C25" s="31"/>
      <c r="D25" s="31"/>
      <c r="E25" s="31"/>
      <c r="F25" s="78">
        <f>SUM(F4:F24)</f>
        <v>3405</v>
      </c>
      <c r="G25" s="31"/>
    </row>
  </sheetData>
  <mergeCells count="1">
    <mergeCell ref="A1:L1"/>
  </mergeCells>
  <hyperlinks>
    <hyperlink ref="A1" location="'Navigation'!A1" tooltip="Back" display="'Navigation'!A1" xr:uid="{9D0D5D5F-B70F-47D7-8CEF-6E3BDFFA830D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EFCD-AC37-4662-9FEB-57F0F53AC136}">
  <sheetPr codeName="Sheet46"/>
  <dimension ref="A1:O5"/>
  <sheetViews>
    <sheetView workbookViewId="0"/>
  </sheetViews>
  <sheetFormatPr defaultRowHeight="14.4" x14ac:dyDescent="0.3"/>
  <cols>
    <col min="1" max="1" width="15.77734375" customWidth="1"/>
    <col min="2" max="15" width="10.77734375" customWidth="1"/>
  </cols>
  <sheetData>
    <row r="1" spans="1:15" ht="30" customHeight="1" x14ac:dyDescent="0.3">
      <c r="A1" s="158" t="s">
        <v>1052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3" spans="1:15" ht="30" customHeight="1" x14ac:dyDescent="0.3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15" x14ac:dyDescent="0.3">
      <c r="A4" s="52" t="s">
        <v>1053</v>
      </c>
      <c r="C4" s="52" t="s">
        <v>1054</v>
      </c>
      <c r="E4" s="52" t="s">
        <v>1055</v>
      </c>
      <c r="G4" s="52" t="s">
        <v>1056</v>
      </c>
      <c r="I4" s="52" t="s">
        <v>1057</v>
      </c>
      <c r="K4" s="52" t="s">
        <v>1058</v>
      </c>
      <c r="M4" s="52" t="s">
        <v>1059</v>
      </c>
      <c r="O4" s="52" t="s">
        <v>1060</v>
      </c>
    </row>
    <row r="5" spans="1:15" ht="18" x14ac:dyDescent="0.35">
      <c r="A5" s="85">
        <v>31</v>
      </c>
      <c r="B5" s="85"/>
      <c r="C5" s="85">
        <f>IFERROR(COUNTIF(Daily_Tracker!D4:D34,"✅"),0)</f>
        <v>0</v>
      </c>
      <c r="D5" s="85"/>
      <c r="E5" s="85">
        <f>IFERROR(C5/B5,0)</f>
        <v>0</v>
      </c>
      <c r="F5" s="85"/>
      <c r="G5" s="85">
        <f>IFERROR(SUM(Daily_Tracker!F4:F34),0)</f>
        <v>0</v>
      </c>
      <c r="H5" s="85"/>
      <c r="I5" s="85">
        <f>IFERROR(G5/B5,0)</f>
        <v>0</v>
      </c>
      <c r="J5" s="85"/>
      <c r="K5" s="85">
        <f>IFERROR(SUM(Daily_Tracker!G4:G34),0)</f>
        <v>0</v>
      </c>
      <c r="L5" s="85"/>
      <c r="M5" s="85">
        <f>IFERROR(SUM(Daily_Tracker!H4:H34),0)</f>
        <v>0</v>
      </c>
      <c r="N5" s="85"/>
      <c r="O5" s="85">
        <f>IFERROR(MAX(Daily_Tracker!K4:K34),0)</f>
        <v>0</v>
      </c>
    </row>
  </sheetData>
  <mergeCells count="1">
    <mergeCell ref="A1:O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EBE0-2FBA-417E-AFCA-9F9820F24B22}">
  <sheetPr codeName="Sheet47"/>
  <dimension ref="A1:L34"/>
  <sheetViews>
    <sheetView workbookViewId="0"/>
  </sheetViews>
  <sheetFormatPr defaultRowHeight="14.4" x14ac:dyDescent="0.3"/>
  <cols>
    <col min="1" max="1" width="6.77734375" customWidth="1"/>
    <col min="2" max="2" width="10.77734375" customWidth="1"/>
    <col min="3" max="5" width="8.77734375" customWidth="1"/>
    <col min="6" max="11" width="10.77734375" customWidth="1"/>
  </cols>
  <sheetData>
    <row r="1" spans="1:12" ht="30" customHeight="1" x14ac:dyDescent="0.3">
      <c r="A1" s="158" t="s">
        <v>1166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1061</v>
      </c>
      <c r="B3" s="48" t="s">
        <v>1062</v>
      </c>
      <c r="C3" s="48" t="s">
        <v>1063</v>
      </c>
      <c r="D3" s="48" t="s">
        <v>667</v>
      </c>
      <c r="E3" s="48" t="s">
        <v>1064</v>
      </c>
      <c r="F3" s="48" t="s">
        <v>1065</v>
      </c>
      <c r="G3" s="48" t="s">
        <v>763</v>
      </c>
      <c r="H3" s="48" t="s">
        <v>1066</v>
      </c>
      <c r="I3" s="48" t="s">
        <v>663</v>
      </c>
      <c r="J3" s="48" t="s">
        <v>1067</v>
      </c>
      <c r="K3" s="48" t="s">
        <v>1068</v>
      </c>
      <c r="L3" s="2"/>
    </row>
    <row r="4" spans="1:12" ht="19.95" customHeight="1" x14ac:dyDescent="0.3">
      <c r="A4" s="16">
        <v>1</v>
      </c>
      <c r="B4" s="101">
        <v>46296</v>
      </c>
      <c r="C4" s="16" t="s">
        <v>1069</v>
      </c>
      <c r="D4" s="16" t="s">
        <v>155</v>
      </c>
      <c r="E4" s="16" t="s">
        <v>1070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2" ht="19.95" customHeight="1" x14ac:dyDescent="0.3">
      <c r="A5" s="16">
        <v>2</v>
      </c>
      <c r="B5" s="101">
        <v>46297</v>
      </c>
      <c r="C5" s="16" t="s">
        <v>1069</v>
      </c>
      <c r="D5" s="16" t="s">
        <v>155</v>
      </c>
      <c r="E5" s="16" t="s">
        <v>1070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2" ht="19.95" customHeight="1" x14ac:dyDescent="0.3">
      <c r="A6" s="16">
        <v>3</v>
      </c>
      <c r="B6" s="101">
        <v>46298</v>
      </c>
      <c r="C6" s="16" t="s">
        <v>1069</v>
      </c>
      <c r="D6" s="16" t="s">
        <v>155</v>
      </c>
      <c r="E6" s="16" t="s">
        <v>1070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2" ht="19.95" customHeight="1" x14ac:dyDescent="0.3">
      <c r="A7" s="16">
        <v>4</v>
      </c>
      <c r="B7" s="101">
        <v>46299</v>
      </c>
      <c r="C7" s="16" t="s">
        <v>1069</v>
      </c>
      <c r="D7" s="16" t="s">
        <v>155</v>
      </c>
      <c r="E7" s="16" t="s">
        <v>1070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</row>
    <row r="8" spans="1:12" ht="19.95" customHeight="1" x14ac:dyDescent="0.3">
      <c r="A8" s="16">
        <v>5</v>
      </c>
      <c r="B8" s="101">
        <v>46300</v>
      </c>
      <c r="C8" s="16" t="s">
        <v>1071</v>
      </c>
      <c r="D8" s="16" t="s">
        <v>155</v>
      </c>
      <c r="E8" s="16" t="s">
        <v>1070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</row>
    <row r="9" spans="1:12" ht="19.95" customHeight="1" x14ac:dyDescent="0.3">
      <c r="A9" s="16">
        <v>6</v>
      </c>
      <c r="B9" s="101">
        <v>46301</v>
      </c>
      <c r="C9" s="16" t="s">
        <v>1071</v>
      </c>
      <c r="D9" s="16" t="s">
        <v>155</v>
      </c>
      <c r="E9" s="16" t="s">
        <v>1070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</row>
    <row r="10" spans="1:12" ht="19.95" customHeight="1" x14ac:dyDescent="0.3">
      <c r="A10" s="16">
        <v>7</v>
      </c>
      <c r="B10" s="101">
        <v>46302</v>
      </c>
      <c r="C10" s="16" t="s">
        <v>1071</v>
      </c>
      <c r="D10" s="16" t="s">
        <v>155</v>
      </c>
      <c r="E10" s="16" t="s">
        <v>1070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2" ht="19.95" customHeight="1" x14ac:dyDescent="0.3">
      <c r="A11" s="16">
        <v>8</v>
      </c>
      <c r="B11" s="101">
        <v>46303</v>
      </c>
      <c r="C11" s="16" t="s">
        <v>1071</v>
      </c>
      <c r="D11" s="16" t="s">
        <v>155</v>
      </c>
      <c r="E11" s="16" t="s">
        <v>1070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</row>
    <row r="12" spans="1:12" ht="19.95" customHeight="1" x14ac:dyDescent="0.3">
      <c r="A12" s="16">
        <v>9</v>
      </c>
      <c r="B12" s="101">
        <v>46304</v>
      </c>
      <c r="C12" s="16" t="s">
        <v>1071</v>
      </c>
      <c r="D12" s="16" t="s">
        <v>155</v>
      </c>
      <c r="E12" s="16" t="s">
        <v>1070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</row>
    <row r="13" spans="1:12" ht="19.95" customHeight="1" x14ac:dyDescent="0.3">
      <c r="A13" s="16">
        <v>10</v>
      </c>
      <c r="B13" s="101">
        <v>46305</v>
      </c>
      <c r="C13" s="16" t="s">
        <v>1071</v>
      </c>
      <c r="D13" s="16" t="s">
        <v>155</v>
      </c>
      <c r="E13" s="16" t="s">
        <v>1070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</row>
    <row r="14" spans="1:12" ht="19.95" customHeight="1" x14ac:dyDescent="0.3">
      <c r="A14" s="16">
        <v>11</v>
      </c>
      <c r="B14" s="101">
        <v>46306</v>
      </c>
      <c r="C14" s="16" t="s">
        <v>1071</v>
      </c>
      <c r="D14" s="16" t="s">
        <v>155</v>
      </c>
      <c r="E14" s="16" t="s">
        <v>1070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2" ht="19.95" customHeight="1" x14ac:dyDescent="0.3">
      <c r="A15" s="16">
        <v>12</v>
      </c>
      <c r="B15" s="101">
        <v>46307</v>
      </c>
      <c r="C15" s="16" t="s">
        <v>1072</v>
      </c>
      <c r="D15" s="16" t="s">
        <v>155</v>
      </c>
      <c r="E15" s="16" t="s">
        <v>1070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</row>
    <row r="16" spans="1:12" ht="19.95" customHeight="1" x14ac:dyDescent="0.3">
      <c r="A16" s="16">
        <v>13</v>
      </c>
      <c r="B16" s="101">
        <v>46308</v>
      </c>
      <c r="C16" s="16" t="s">
        <v>1072</v>
      </c>
      <c r="D16" s="16" t="s">
        <v>155</v>
      </c>
      <c r="E16" s="16" t="s">
        <v>1070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</row>
    <row r="17" spans="1:11" ht="19.95" customHeight="1" x14ac:dyDescent="0.3">
      <c r="A17" s="16">
        <v>14</v>
      </c>
      <c r="B17" s="101">
        <v>46309</v>
      </c>
      <c r="C17" s="16" t="s">
        <v>1072</v>
      </c>
      <c r="D17" s="16" t="s">
        <v>155</v>
      </c>
      <c r="E17" s="16" t="s">
        <v>1070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</row>
    <row r="18" spans="1:11" ht="19.95" customHeight="1" x14ac:dyDescent="0.3">
      <c r="A18" s="16">
        <v>15</v>
      </c>
      <c r="B18" s="101">
        <v>46310</v>
      </c>
      <c r="C18" s="16" t="s">
        <v>1072</v>
      </c>
      <c r="D18" s="16" t="s">
        <v>155</v>
      </c>
      <c r="E18" s="16" t="s">
        <v>1070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</row>
    <row r="19" spans="1:11" ht="19.95" customHeight="1" x14ac:dyDescent="0.3">
      <c r="A19" s="16">
        <v>16</v>
      </c>
      <c r="B19" s="101">
        <v>46311</v>
      </c>
      <c r="C19" s="16" t="s">
        <v>1072</v>
      </c>
      <c r="D19" s="16" t="s">
        <v>155</v>
      </c>
      <c r="E19" s="16" t="s">
        <v>1070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</row>
    <row r="20" spans="1:11" ht="19.95" customHeight="1" x14ac:dyDescent="0.3">
      <c r="A20" s="16">
        <v>17</v>
      </c>
      <c r="B20" s="101">
        <v>46312</v>
      </c>
      <c r="C20" s="16" t="s">
        <v>1072</v>
      </c>
      <c r="D20" s="16" t="s">
        <v>155</v>
      </c>
      <c r="E20" s="16" t="s">
        <v>1070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</row>
    <row r="21" spans="1:11" ht="19.95" customHeight="1" x14ac:dyDescent="0.3">
      <c r="A21" s="16">
        <v>18</v>
      </c>
      <c r="B21" s="101">
        <v>46313</v>
      </c>
      <c r="C21" s="16" t="s">
        <v>1072</v>
      </c>
      <c r="D21" s="16" t="s">
        <v>155</v>
      </c>
      <c r="E21" s="16" t="s">
        <v>1070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</row>
    <row r="22" spans="1:11" ht="19.95" customHeight="1" x14ac:dyDescent="0.3">
      <c r="A22" s="16">
        <v>19</v>
      </c>
      <c r="B22" s="101">
        <v>46314</v>
      </c>
      <c r="C22" s="16" t="s">
        <v>1073</v>
      </c>
      <c r="D22" s="16" t="s">
        <v>155</v>
      </c>
      <c r="E22" s="16" t="s">
        <v>1070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</row>
    <row r="23" spans="1:11" ht="19.95" customHeight="1" x14ac:dyDescent="0.3">
      <c r="A23" s="16">
        <v>20</v>
      </c>
      <c r="B23" s="101">
        <v>46315</v>
      </c>
      <c r="C23" s="16" t="s">
        <v>1073</v>
      </c>
      <c r="D23" s="16" t="s">
        <v>155</v>
      </c>
      <c r="E23" s="16" t="s">
        <v>1070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</row>
    <row r="24" spans="1:11" ht="19.95" customHeight="1" x14ac:dyDescent="0.3">
      <c r="A24" s="16">
        <v>21</v>
      </c>
      <c r="B24" s="101">
        <v>46316</v>
      </c>
      <c r="C24" s="16" t="s">
        <v>1073</v>
      </c>
      <c r="D24" s="16" t="s">
        <v>155</v>
      </c>
      <c r="E24" s="16" t="s">
        <v>1070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</row>
    <row r="25" spans="1:11" ht="19.95" customHeight="1" x14ac:dyDescent="0.3">
      <c r="A25" s="16">
        <v>22</v>
      </c>
      <c r="B25" s="101">
        <v>46317</v>
      </c>
      <c r="C25" s="16" t="s">
        <v>1073</v>
      </c>
      <c r="D25" s="16" t="s">
        <v>155</v>
      </c>
      <c r="E25" s="16" t="s">
        <v>1070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</row>
    <row r="26" spans="1:11" ht="19.95" customHeight="1" x14ac:dyDescent="0.3">
      <c r="A26" s="16">
        <v>23</v>
      </c>
      <c r="B26" s="101">
        <v>46318</v>
      </c>
      <c r="C26" s="16" t="s">
        <v>1073</v>
      </c>
      <c r="D26" s="16" t="s">
        <v>155</v>
      </c>
      <c r="E26" s="16" t="s">
        <v>1070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</row>
    <row r="27" spans="1:11" ht="19.95" customHeight="1" x14ac:dyDescent="0.3">
      <c r="A27" s="16">
        <v>24</v>
      </c>
      <c r="B27" s="101">
        <v>46319</v>
      </c>
      <c r="C27" s="16" t="s">
        <v>1073</v>
      </c>
      <c r="D27" s="16" t="s">
        <v>155</v>
      </c>
      <c r="E27" s="16" t="s">
        <v>1070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</row>
    <row r="28" spans="1:11" ht="19.95" customHeight="1" x14ac:dyDescent="0.3">
      <c r="A28" s="16">
        <v>25</v>
      </c>
      <c r="B28" s="101">
        <v>46320</v>
      </c>
      <c r="C28" s="16" t="s">
        <v>1073</v>
      </c>
      <c r="D28" s="16" t="s">
        <v>155</v>
      </c>
      <c r="E28" s="16" t="s">
        <v>1070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</row>
    <row r="29" spans="1:11" ht="19.95" customHeight="1" x14ac:dyDescent="0.3">
      <c r="A29" s="16">
        <v>26</v>
      </c>
      <c r="B29" s="101">
        <v>46321</v>
      </c>
      <c r="C29" s="16" t="s">
        <v>1074</v>
      </c>
      <c r="D29" s="16" t="s">
        <v>155</v>
      </c>
      <c r="E29" s="16" t="s">
        <v>1070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9.95" customHeight="1" x14ac:dyDescent="0.3">
      <c r="A30" s="16">
        <v>27</v>
      </c>
      <c r="B30" s="101">
        <v>46322</v>
      </c>
      <c r="C30" s="16" t="s">
        <v>1074</v>
      </c>
      <c r="D30" s="16" t="s">
        <v>155</v>
      </c>
      <c r="E30" s="16" t="s">
        <v>1070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</row>
    <row r="31" spans="1:11" ht="19.95" customHeight="1" x14ac:dyDescent="0.3">
      <c r="A31" s="16">
        <v>28</v>
      </c>
      <c r="B31" s="101">
        <v>46323</v>
      </c>
      <c r="C31" s="16" t="s">
        <v>1074</v>
      </c>
      <c r="D31" s="16" t="s">
        <v>155</v>
      </c>
      <c r="E31" s="16" t="s">
        <v>1070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</row>
    <row r="32" spans="1:11" ht="19.95" customHeight="1" x14ac:dyDescent="0.3">
      <c r="A32" s="16">
        <v>29</v>
      </c>
      <c r="B32" s="101">
        <v>46324</v>
      </c>
      <c r="C32" s="16" t="s">
        <v>1074</v>
      </c>
      <c r="D32" s="16" t="s">
        <v>155</v>
      </c>
      <c r="E32" s="16" t="s">
        <v>1070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</row>
    <row r="33" spans="1:11" ht="19.95" customHeight="1" x14ac:dyDescent="0.3">
      <c r="A33" s="16">
        <v>30</v>
      </c>
      <c r="B33" s="101">
        <v>46325</v>
      </c>
      <c r="C33" s="16" t="s">
        <v>1074</v>
      </c>
      <c r="D33" s="16" t="s">
        <v>155</v>
      </c>
      <c r="E33" s="16" t="s">
        <v>1070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</row>
    <row r="34" spans="1:11" ht="19.95" customHeight="1" x14ac:dyDescent="0.3">
      <c r="A34" s="16">
        <v>31</v>
      </c>
      <c r="B34" s="101">
        <v>46326</v>
      </c>
      <c r="C34" s="16" t="s">
        <v>1074</v>
      </c>
      <c r="D34" s="16" t="s">
        <v>155</v>
      </c>
      <c r="E34" s="16" t="s">
        <v>1070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</sheetData>
  <mergeCells count="1">
    <mergeCell ref="A1:L1"/>
  </mergeCells>
  <dataValidations count="1">
    <dataValidation type="list" allowBlank="1" showInputMessage="1" showErrorMessage="1" sqref="D4:D34" xr:uid="{0C1BF82D-6A92-4AAD-A45B-EE00348B589D}">
      <formula1>"✅,☐"</formula1>
    </dataValidation>
  </dataValidations>
  <hyperlinks>
    <hyperlink ref="A1" location="'Navigation'!A1" tooltip="Back" display="'Navigation'!A1" xr:uid="{C9AEBC83-A01C-42EA-88BC-31149AB9EFE8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02D8-94E7-4016-8425-73B9BE6D2F70}">
  <sheetPr codeName="Sheet48"/>
  <dimension ref="A1:L17"/>
  <sheetViews>
    <sheetView workbookViewId="0"/>
  </sheetViews>
  <sheetFormatPr defaultRowHeight="14.4" x14ac:dyDescent="0.3"/>
  <cols>
    <col min="1" max="1" width="15.77734375" customWidth="1"/>
    <col min="2" max="2" width="28.77734375" customWidth="1"/>
    <col min="3" max="4" width="12.77734375" customWidth="1"/>
    <col min="5" max="5" width="10.77734375" customWidth="1"/>
    <col min="6" max="6" width="12.77734375" customWidth="1"/>
    <col min="7" max="7" width="18.77734375" customWidth="1"/>
  </cols>
  <sheetData>
    <row r="1" spans="1:12" ht="30" customHeight="1" x14ac:dyDescent="0.3">
      <c r="A1" s="158" t="s">
        <v>1167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662</v>
      </c>
      <c r="B3" s="48" t="s">
        <v>803</v>
      </c>
      <c r="C3" s="48" t="s">
        <v>665</v>
      </c>
      <c r="D3" s="48" t="s">
        <v>666</v>
      </c>
      <c r="E3" s="48" t="s">
        <v>180</v>
      </c>
      <c r="F3" s="48" t="s">
        <v>1075</v>
      </c>
      <c r="G3" s="48" t="s">
        <v>667</v>
      </c>
      <c r="H3" s="2"/>
      <c r="I3" s="2"/>
      <c r="J3" s="2"/>
      <c r="K3" s="2"/>
      <c r="L3" s="2"/>
    </row>
    <row r="4" spans="1:12" ht="22.05" customHeight="1" x14ac:dyDescent="0.3">
      <c r="A4" s="16" t="s">
        <v>312</v>
      </c>
      <c r="B4" s="16" t="s">
        <v>1076</v>
      </c>
      <c r="C4" s="16">
        <v>5</v>
      </c>
      <c r="D4" s="16">
        <v>4</v>
      </c>
      <c r="E4" s="64">
        <f t="shared" ref="E4:E17" si="0">IFERROR(D4/C4,0)</f>
        <v>0.8</v>
      </c>
      <c r="F4" s="101">
        <v>46326</v>
      </c>
      <c r="G4" s="16" t="str">
        <f t="shared" ref="G4:G17" si="1">IF(E4&gt;=0.9,"🟢 Done",IF(E4&gt;=0.7,"🟡 Good",IF(E4&gt;0,"🔴 Progress","⚪ Not Started")))</f>
        <v>🟡 Good</v>
      </c>
    </row>
    <row r="5" spans="1:12" ht="22.05" customHeight="1" x14ac:dyDescent="0.3">
      <c r="A5" s="16" t="s">
        <v>158</v>
      </c>
      <c r="B5" s="16" t="s">
        <v>1077</v>
      </c>
      <c r="C5" s="16">
        <v>4</v>
      </c>
      <c r="D5" s="16">
        <v>2</v>
      </c>
      <c r="E5" s="64">
        <f t="shared" si="0"/>
        <v>0.5</v>
      </c>
      <c r="F5" s="101">
        <v>46326</v>
      </c>
      <c r="G5" s="16" t="str">
        <f t="shared" si="1"/>
        <v>🔴 Progress</v>
      </c>
    </row>
    <row r="6" spans="1:12" ht="22.05" customHeight="1" x14ac:dyDescent="0.3">
      <c r="A6" s="16" t="s">
        <v>160</v>
      </c>
      <c r="B6" s="16" t="s">
        <v>1078</v>
      </c>
      <c r="C6" s="16">
        <v>650</v>
      </c>
      <c r="D6" s="16">
        <v>400</v>
      </c>
      <c r="E6" s="64">
        <f t="shared" si="0"/>
        <v>0.61538461538461542</v>
      </c>
      <c r="F6" s="101">
        <v>46326</v>
      </c>
      <c r="G6" s="16" t="str">
        <f t="shared" si="1"/>
        <v>🔴 Progress</v>
      </c>
    </row>
    <row r="7" spans="1:12" ht="22.05" customHeight="1" x14ac:dyDescent="0.3">
      <c r="A7" s="16" t="s">
        <v>1079</v>
      </c>
      <c r="B7" s="16" t="s">
        <v>1080</v>
      </c>
      <c r="C7" s="16">
        <v>3</v>
      </c>
      <c r="D7" s="16">
        <v>1</v>
      </c>
      <c r="E7" s="64">
        <f t="shared" si="0"/>
        <v>0.33333333333333331</v>
      </c>
      <c r="F7" s="101">
        <v>46326</v>
      </c>
      <c r="G7" s="16" t="str">
        <f t="shared" si="1"/>
        <v>🔴 Progress</v>
      </c>
    </row>
    <row r="8" spans="1:12" ht="22.05" customHeight="1" x14ac:dyDescent="0.3">
      <c r="A8" s="16" t="s">
        <v>340</v>
      </c>
      <c r="B8" s="16" t="s">
        <v>1081</v>
      </c>
      <c r="C8" s="16">
        <v>40</v>
      </c>
      <c r="D8" s="16">
        <v>20</v>
      </c>
      <c r="E8" s="64">
        <f t="shared" si="0"/>
        <v>0.5</v>
      </c>
      <c r="F8" s="101">
        <v>46326</v>
      </c>
      <c r="G8" s="16" t="str">
        <f t="shared" si="1"/>
        <v>🔴 Progress</v>
      </c>
    </row>
    <row r="9" spans="1:12" ht="22.05" customHeight="1" x14ac:dyDescent="0.3">
      <c r="A9" s="16" t="s">
        <v>341</v>
      </c>
      <c r="B9" s="16" t="s">
        <v>1082</v>
      </c>
      <c r="C9" s="16">
        <v>80</v>
      </c>
      <c r="D9" s="16">
        <v>45</v>
      </c>
      <c r="E9" s="64">
        <f t="shared" si="0"/>
        <v>0.5625</v>
      </c>
      <c r="F9" s="101">
        <v>46326</v>
      </c>
      <c r="G9" s="16" t="str">
        <f t="shared" si="1"/>
        <v>🔴 Progress</v>
      </c>
    </row>
    <row r="10" spans="1:12" ht="22.05" customHeight="1" x14ac:dyDescent="0.3">
      <c r="A10" s="16" t="s">
        <v>342</v>
      </c>
      <c r="B10" s="16" t="s">
        <v>1083</v>
      </c>
      <c r="C10" s="16">
        <v>20</v>
      </c>
      <c r="D10" s="16">
        <v>12</v>
      </c>
      <c r="E10" s="64">
        <f t="shared" si="0"/>
        <v>0.6</v>
      </c>
      <c r="F10" s="101">
        <v>46326</v>
      </c>
      <c r="G10" s="16" t="str">
        <f t="shared" si="1"/>
        <v>🔴 Progress</v>
      </c>
    </row>
    <row r="11" spans="1:12" ht="22.05" customHeight="1" x14ac:dyDescent="0.3">
      <c r="A11" s="16" t="s">
        <v>344</v>
      </c>
      <c r="B11" s="16" t="s">
        <v>1084</v>
      </c>
      <c r="C11" s="16">
        <v>40</v>
      </c>
      <c r="D11" s="16">
        <v>22</v>
      </c>
      <c r="E11" s="64">
        <f t="shared" si="0"/>
        <v>0.55000000000000004</v>
      </c>
      <c r="F11" s="101">
        <v>46326</v>
      </c>
      <c r="G11" s="16" t="str">
        <f t="shared" si="1"/>
        <v>🔴 Progress</v>
      </c>
    </row>
    <row r="12" spans="1:12" ht="22.05" customHeight="1" x14ac:dyDescent="0.3">
      <c r="A12" s="16" t="s">
        <v>1085</v>
      </c>
      <c r="B12" s="16" t="s">
        <v>1086</v>
      </c>
      <c r="C12" s="16">
        <v>2</v>
      </c>
      <c r="D12" s="16">
        <v>1</v>
      </c>
      <c r="E12" s="64">
        <f t="shared" si="0"/>
        <v>0.5</v>
      </c>
      <c r="F12" s="101">
        <v>46326</v>
      </c>
      <c r="G12" s="16" t="str">
        <f t="shared" si="1"/>
        <v>🔴 Progress</v>
      </c>
    </row>
    <row r="13" spans="1:12" ht="22.05" customHeight="1" x14ac:dyDescent="0.3">
      <c r="A13" s="16" t="s">
        <v>1087</v>
      </c>
      <c r="B13" s="16" t="s">
        <v>1088</v>
      </c>
      <c r="C13" s="16">
        <v>22000</v>
      </c>
      <c r="D13" s="16">
        <v>12000</v>
      </c>
      <c r="E13" s="64">
        <f t="shared" si="0"/>
        <v>0.54545454545454541</v>
      </c>
      <c r="F13" s="101">
        <v>46326</v>
      </c>
      <c r="G13" s="16" t="str">
        <f t="shared" si="1"/>
        <v>🔴 Progress</v>
      </c>
    </row>
    <row r="14" spans="1:12" ht="22.05" customHeight="1" x14ac:dyDescent="0.3">
      <c r="A14" s="16" t="s">
        <v>1089</v>
      </c>
      <c r="B14" s="16" t="s">
        <v>1090</v>
      </c>
      <c r="C14" s="16">
        <v>4</v>
      </c>
      <c r="D14" s="16">
        <v>2</v>
      </c>
      <c r="E14" s="64">
        <f t="shared" si="0"/>
        <v>0.5</v>
      </c>
      <c r="F14" s="101">
        <v>46326</v>
      </c>
      <c r="G14" s="16" t="str">
        <f t="shared" si="1"/>
        <v>🔴 Progress</v>
      </c>
    </row>
    <row r="15" spans="1:12" ht="22.05" customHeight="1" x14ac:dyDescent="0.3">
      <c r="A15" s="16" t="s">
        <v>1091</v>
      </c>
      <c r="B15" s="16" t="s">
        <v>1092</v>
      </c>
      <c r="C15" s="16">
        <v>31</v>
      </c>
      <c r="D15" s="16">
        <v>18</v>
      </c>
      <c r="E15" s="64">
        <f t="shared" si="0"/>
        <v>0.58064516129032262</v>
      </c>
      <c r="F15" s="101">
        <v>46326</v>
      </c>
      <c r="G15" s="16" t="str">
        <f t="shared" si="1"/>
        <v>🔴 Progress</v>
      </c>
    </row>
    <row r="16" spans="1:12" ht="22.05" customHeight="1" x14ac:dyDescent="0.3">
      <c r="A16" s="16" t="s">
        <v>1093</v>
      </c>
      <c r="B16" s="16" t="s">
        <v>1094</v>
      </c>
      <c r="C16" s="16">
        <v>30</v>
      </c>
      <c r="D16" s="16">
        <v>18</v>
      </c>
      <c r="E16" s="64">
        <f t="shared" si="0"/>
        <v>0.6</v>
      </c>
      <c r="F16" s="101">
        <v>46326</v>
      </c>
      <c r="G16" s="16" t="str">
        <f t="shared" si="1"/>
        <v>🔴 Progress</v>
      </c>
    </row>
    <row r="17" spans="1:7" ht="22.05" customHeight="1" x14ac:dyDescent="0.3">
      <c r="A17" s="16" t="s">
        <v>1095</v>
      </c>
      <c r="B17" s="16" t="s">
        <v>1096</v>
      </c>
      <c r="C17" s="16">
        <v>31</v>
      </c>
      <c r="D17" s="16">
        <v>18</v>
      </c>
      <c r="E17" s="64">
        <f t="shared" si="0"/>
        <v>0.58064516129032262</v>
      </c>
      <c r="F17" s="101">
        <v>46326</v>
      </c>
      <c r="G17" s="16" t="str">
        <f t="shared" si="1"/>
        <v>🔴 Progress</v>
      </c>
    </row>
  </sheetData>
  <mergeCells count="1">
    <mergeCell ref="A1:L1"/>
  </mergeCells>
  <hyperlinks>
    <hyperlink ref="A1" location="'Navigation'!A1" tooltip="Back" display="'Navigation'!A1" xr:uid="{233FBE35-1848-4BD7-87FB-015302E06571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7C97-A8C1-4F09-AEA5-F328743026D3}">
  <sheetPr codeName="Sheet49"/>
  <dimension ref="A1:AI20"/>
  <sheetViews>
    <sheetView workbookViewId="0"/>
  </sheetViews>
  <sheetFormatPr defaultRowHeight="14.4" x14ac:dyDescent="0.3"/>
  <cols>
    <col min="1" max="1" width="18.77734375" customWidth="1"/>
    <col min="2" max="33" width="4.77734375" customWidth="1"/>
  </cols>
  <sheetData>
    <row r="1" spans="1:35" ht="30" customHeight="1" x14ac:dyDescent="0.3">
      <c r="A1" s="158" t="s">
        <v>1168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</row>
    <row r="3" spans="1:35" ht="30" customHeight="1" x14ac:dyDescent="0.3">
      <c r="A3" s="47" t="s">
        <v>178</v>
      </c>
      <c r="B3" s="48">
        <v>1</v>
      </c>
      <c r="C3" s="48">
        <v>2</v>
      </c>
      <c r="D3" s="48">
        <v>3</v>
      </c>
      <c r="E3" s="48">
        <v>4</v>
      </c>
      <c r="F3" s="48">
        <v>5</v>
      </c>
      <c r="G3" s="48">
        <v>6</v>
      </c>
      <c r="H3" s="48">
        <v>7</v>
      </c>
      <c r="I3" s="48">
        <v>8</v>
      </c>
      <c r="J3" s="48">
        <v>9</v>
      </c>
      <c r="K3" s="48">
        <v>10</v>
      </c>
      <c r="L3" s="48">
        <v>11</v>
      </c>
      <c r="M3" s="26">
        <v>12</v>
      </c>
      <c r="N3" s="26">
        <v>13</v>
      </c>
      <c r="O3" s="26">
        <v>14</v>
      </c>
      <c r="P3" s="26">
        <v>15</v>
      </c>
      <c r="Q3" s="26">
        <v>16</v>
      </c>
      <c r="R3" s="26">
        <v>17</v>
      </c>
      <c r="S3" s="26">
        <v>18</v>
      </c>
      <c r="T3" s="26">
        <v>19</v>
      </c>
      <c r="U3" s="26">
        <v>20</v>
      </c>
      <c r="V3" s="26">
        <v>21</v>
      </c>
      <c r="W3" s="26">
        <v>22</v>
      </c>
      <c r="X3" s="26">
        <v>23</v>
      </c>
      <c r="Y3" s="26">
        <v>24</v>
      </c>
      <c r="Z3" s="26">
        <v>25</v>
      </c>
      <c r="AA3" s="26">
        <v>26</v>
      </c>
      <c r="AB3" s="26">
        <v>27</v>
      </c>
      <c r="AC3" s="26">
        <v>28</v>
      </c>
      <c r="AD3" s="26">
        <v>29</v>
      </c>
      <c r="AE3" s="26">
        <v>30</v>
      </c>
      <c r="AF3" s="26">
        <v>31</v>
      </c>
      <c r="AG3" s="31" t="s">
        <v>418</v>
      </c>
    </row>
    <row r="4" spans="1:35" ht="19.95" customHeight="1" x14ac:dyDescent="0.3">
      <c r="A4" s="27" t="s">
        <v>1097</v>
      </c>
      <c r="B4" s="86" t="s">
        <v>155</v>
      </c>
      <c r="C4" s="86" t="s">
        <v>155</v>
      </c>
      <c r="D4" s="86" t="s">
        <v>155</v>
      </c>
      <c r="E4" s="86" t="s">
        <v>155</v>
      </c>
      <c r="F4" s="86" t="s">
        <v>155</v>
      </c>
      <c r="G4" s="86" t="s">
        <v>155</v>
      </c>
      <c r="H4" s="86" t="s">
        <v>155</v>
      </c>
      <c r="I4" s="86" t="s">
        <v>155</v>
      </c>
      <c r="J4" s="86" t="s">
        <v>155</v>
      </c>
      <c r="K4" s="86" t="s">
        <v>155</v>
      </c>
      <c r="L4" s="86" t="s">
        <v>155</v>
      </c>
      <c r="M4" s="86" t="s">
        <v>155</v>
      </c>
      <c r="N4" s="86" t="s">
        <v>155</v>
      </c>
      <c r="O4" s="86" t="s">
        <v>155</v>
      </c>
      <c r="P4" s="86" t="s">
        <v>155</v>
      </c>
      <c r="Q4" s="86" t="s">
        <v>155</v>
      </c>
      <c r="R4" s="86" t="s">
        <v>155</v>
      </c>
      <c r="S4" s="86" t="s">
        <v>155</v>
      </c>
      <c r="T4" s="86" t="s">
        <v>155</v>
      </c>
      <c r="U4" s="86" t="s">
        <v>155</v>
      </c>
      <c r="V4" s="86" t="s">
        <v>155</v>
      </c>
      <c r="W4" s="86" t="s">
        <v>155</v>
      </c>
      <c r="X4" s="86" t="s">
        <v>155</v>
      </c>
      <c r="Y4" s="86" t="s">
        <v>155</v>
      </c>
      <c r="Z4" s="86" t="s">
        <v>155</v>
      </c>
      <c r="AA4" s="86" t="s">
        <v>155</v>
      </c>
      <c r="AB4" s="86" t="s">
        <v>155</v>
      </c>
      <c r="AC4" s="86" t="s">
        <v>155</v>
      </c>
      <c r="AD4" s="86" t="s">
        <v>155</v>
      </c>
      <c r="AE4" s="86" t="s">
        <v>155</v>
      </c>
      <c r="AF4" s="86" t="s">
        <v>155</v>
      </c>
      <c r="AG4" s="82">
        <f t="shared" ref="AG4:AG20" si="0">COUNTIF(B4:AF4,"✅")</f>
        <v>0</v>
      </c>
    </row>
    <row r="5" spans="1:35" ht="19.95" customHeight="1" x14ac:dyDescent="0.3">
      <c r="A5" s="27" t="s">
        <v>157</v>
      </c>
      <c r="B5" s="86" t="s">
        <v>155</v>
      </c>
      <c r="C5" s="86" t="s">
        <v>155</v>
      </c>
      <c r="D5" s="86" t="s">
        <v>155</v>
      </c>
      <c r="E5" s="86" t="s">
        <v>155</v>
      </c>
      <c r="F5" s="86" t="s">
        <v>155</v>
      </c>
      <c r="G5" s="86" t="s">
        <v>155</v>
      </c>
      <c r="H5" s="86" t="s">
        <v>155</v>
      </c>
      <c r="I5" s="86" t="s">
        <v>155</v>
      </c>
      <c r="J5" s="86" t="s">
        <v>155</v>
      </c>
      <c r="K5" s="86" t="s">
        <v>155</v>
      </c>
      <c r="L5" s="86" t="s">
        <v>155</v>
      </c>
      <c r="M5" s="86" t="s">
        <v>155</v>
      </c>
      <c r="N5" s="86" t="s">
        <v>155</v>
      </c>
      <c r="O5" s="86" t="s">
        <v>155</v>
      </c>
      <c r="P5" s="86" t="s">
        <v>155</v>
      </c>
      <c r="Q5" s="86" t="s">
        <v>155</v>
      </c>
      <c r="R5" s="86" t="s">
        <v>155</v>
      </c>
      <c r="S5" s="86" t="s">
        <v>155</v>
      </c>
      <c r="T5" s="86" t="s">
        <v>155</v>
      </c>
      <c r="U5" s="86" t="s">
        <v>155</v>
      </c>
      <c r="V5" s="86" t="s">
        <v>155</v>
      </c>
      <c r="W5" s="86" t="s">
        <v>155</v>
      </c>
      <c r="X5" s="86" t="s">
        <v>155</v>
      </c>
      <c r="Y5" s="86" t="s">
        <v>155</v>
      </c>
      <c r="Z5" s="86" t="s">
        <v>155</v>
      </c>
      <c r="AA5" s="86" t="s">
        <v>155</v>
      </c>
      <c r="AB5" s="86" t="s">
        <v>155</v>
      </c>
      <c r="AC5" s="86" t="s">
        <v>155</v>
      </c>
      <c r="AD5" s="86" t="s">
        <v>155</v>
      </c>
      <c r="AE5" s="86" t="s">
        <v>155</v>
      </c>
      <c r="AF5" s="86" t="s">
        <v>155</v>
      </c>
      <c r="AG5" s="82">
        <f t="shared" si="0"/>
        <v>0</v>
      </c>
    </row>
    <row r="6" spans="1:35" ht="19.95" customHeight="1" x14ac:dyDescent="0.3">
      <c r="A6" s="27" t="s">
        <v>158</v>
      </c>
      <c r="B6" s="86" t="s">
        <v>155</v>
      </c>
      <c r="C6" s="86" t="s">
        <v>155</v>
      </c>
      <c r="D6" s="86" t="s">
        <v>155</v>
      </c>
      <c r="E6" s="86" t="s">
        <v>155</v>
      </c>
      <c r="F6" s="86" t="s">
        <v>155</v>
      </c>
      <c r="G6" s="86" t="s">
        <v>155</v>
      </c>
      <c r="H6" s="86" t="s">
        <v>155</v>
      </c>
      <c r="I6" s="86" t="s">
        <v>155</v>
      </c>
      <c r="J6" s="86" t="s">
        <v>155</v>
      </c>
      <c r="K6" s="86" t="s">
        <v>155</v>
      </c>
      <c r="L6" s="86" t="s">
        <v>155</v>
      </c>
      <c r="M6" s="86" t="s">
        <v>155</v>
      </c>
      <c r="N6" s="86" t="s">
        <v>155</v>
      </c>
      <c r="O6" s="86" t="s">
        <v>155</v>
      </c>
      <c r="P6" s="86" t="s">
        <v>155</v>
      </c>
      <c r="Q6" s="86" t="s">
        <v>155</v>
      </c>
      <c r="R6" s="86" t="s">
        <v>155</v>
      </c>
      <c r="S6" s="86" t="s">
        <v>155</v>
      </c>
      <c r="T6" s="86" t="s">
        <v>155</v>
      </c>
      <c r="U6" s="86" t="s">
        <v>155</v>
      </c>
      <c r="V6" s="86" t="s">
        <v>155</v>
      </c>
      <c r="W6" s="86" t="s">
        <v>155</v>
      </c>
      <c r="X6" s="86" t="s">
        <v>155</v>
      </c>
      <c r="Y6" s="86" t="s">
        <v>155</v>
      </c>
      <c r="Z6" s="86" t="s">
        <v>155</v>
      </c>
      <c r="AA6" s="86" t="s">
        <v>155</v>
      </c>
      <c r="AB6" s="86" t="s">
        <v>155</v>
      </c>
      <c r="AC6" s="86" t="s">
        <v>155</v>
      </c>
      <c r="AD6" s="86" t="s">
        <v>155</v>
      </c>
      <c r="AE6" s="86" t="s">
        <v>155</v>
      </c>
      <c r="AF6" s="86" t="s">
        <v>155</v>
      </c>
      <c r="AG6" s="82">
        <f t="shared" si="0"/>
        <v>0</v>
      </c>
    </row>
    <row r="7" spans="1:35" ht="19.95" customHeight="1" x14ac:dyDescent="0.3">
      <c r="A7" s="27" t="s">
        <v>160</v>
      </c>
      <c r="B7" s="86" t="s">
        <v>155</v>
      </c>
      <c r="C7" s="86" t="s">
        <v>155</v>
      </c>
      <c r="D7" s="86" t="s">
        <v>155</v>
      </c>
      <c r="E7" s="86" t="s">
        <v>155</v>
      </c>
      <c r="F7" s="86" t="s">
        <v>155</v>
      </c>
      <c r="G7" s="86" t="s">
        <v>155</v>
      </c>
      <c r="H7" s="86" t="s">
        <v>155</v>
      </c>
      <c r="I7" s="86" t="s">
        <v>155</v>
      </c>
      <c r="J7" s="86" t="s">
        <v>155</v>
      </c>
      <c r="K7" s="86" t="s">
        <v>155</v>
      </c>
      <c r="L7" s="86" t="s">
        <v>155</v>
      </c>
      <c r="M7" s="86" t="s">
        <v>155</v>
      </c>
      <c r="N7" s="86" t="s">
        <v>155</v>
      </c>
      <c r="O7" s="86" t="s">
        <v>155</v>
      </c>
      <c r="P7" s="86" t="s">
        <v>155</v>
      </c>
      <c r="Q7" s="86" t="s">
        <v>155</v>
      </c>
      <c r="R7" s="86" t="s">
        <v>155</v>
      </c>
      <c r="S7" s="86" t="s">
        <v>155</v>
      </c>
      <c r="T7" s="86" t="s">
        <v>155</v>
      </c>
      <c r="U7" s="86" t="s">
        <v>155</v>
      </c>
      <c r="V7" s="86" t="s">
        <v>155</v>
      </c>
      <c r="W7" s="86" t="s">
        <v>155</v>
      </c>
      <c r="X7" s="86" t="s">
        <v>155</v>
      </c>
      <c r="Y7" s="86" t="s">
        <v>155</v>
      </c>
      <c r="Z7" s="86" t="s">
        <v>155</v>
      </c>
      <c r="AA7" s="86" t="s">
        <v>155</v>
      </c>
      <c r="AB7" s="86" t="s">
        <v>155</v>
      </c>
      <c r="AC7" s="86" t="s">
        <v>155</v>
      </c>
      <c r="AD7" s="86" t="s">
        <v>155</v>
      </c>
      <c r="AE7" s="86" t="s">
        <v>155</v>
      </c>
      <c r="AF7" s="86" t="s">
        <v>155</v>
      </c>
      <c r="AG7" s="82">
        <f t="shared" si="0"/>
        <v>0</v>
      </c>
    </row>
    <row r="8" spans="1:35" ht="19.95" customHeight="1" x14ac:dyDescent="0.3">
      <c r="A8" s="27" t="s">
        <v>312</v>
      </c>
      <c r="B8" s="86" t="s">
        <v>155</v>
      </c>
      <c r="C8" s="86" t="s">
        <v>155</v>
      </c>
      <c r="D8" s="86" t="s">
        <v>155</v>
      </c>
      <c r="E8" s="86" t="s">
        <v>155</v>
      </c>
      <c r="F8" s="86" t="s">
        <v>155</v>
      </c>
      <c r="G8" s="86" t="s">
        <v>155</v>
      </c>
      <c r="H8" s="86" t="s">
        <v>155</v>
      </c>
      <c r="I8" s="86" t="s">
        <v>155</v>
      </c>
      <c r="J8" s="86" t="s">
        <v>155</v>
      </c>
      <c r="K8" s="86" t="s">
        <v>155</v>
      </c>
      <c r="L8" s="86" t="s">
        <v>155</v>
      </c>
      <c r="M8" s="86" t="s">
        <v>155</v>
      </c>
      <c r="N8" s="86" t="s">
        <v>155</v>
      </c>
      <c r="O8" s="86" t="s">
        <v>155</v>
      </c>
      <c r="P8" s="86" t="s">
        <v>155</v>
      </c>
      <c r="Q8" s="86" t="s">
        <v>155</v>
      </c>
      <c r="R8" s="86" t="s">
        <v>155</v>
      </c>
      <c r="S8" s="86" t="s">
        <v>155</v>
      </c>
      <c r="T8" s="86" t="s">
        <v>155</v>
      </c>
      <c r="U8" s="86" t="s">
        <v>155</v>
      </c>
      <c r="V8" s="86" t="s">
        <v>155</v>
      </c>
      <c r="W8" s="86" t="s">
        <v>155</v>
      </c>
      <c r="X8" s="86" t="s">
        <v>155</v>
      </c>
      <c r="Y8" s="86" t="s">
        <v>155</v>
      </c>
      <c r="Z8" s="86" t="s">
        <v>155</v>
      </c>
      <c r="AA8" s="86" t="s">
        <v>155</v>
      </c>
      <c r="AB8" s="86" t="s">
        <v>155</v>
      </c>
      <c r="AC8" s="86" t="s">
        <v>155</v>
      </c>
      <c r="AD8" s="86" t="s">
        <v>155</v>
      </c>
      <c r="AE8" s="86" t="s">
        <v>155</v>
      </c>
      <c r="AF8" s="86" t="s">
        <v>155</v>
      </c>
      <c r="AG8" s="82">
        <f t="shared" si="0"/>
        <v>0</v>
      </c>
    </row>
    <row r="9" spans="1:35" ht="19.95" customHeight="1" x14ac:dyDescent="0.3">
      <c r="A9" s="27" t="s">
        <v>1079</v>
      </c>
      <c r="B9" s="86" t="s">
        <v>155</v>
      </c>
      <c r="C9" s="86" t="s">
        <v>155</v>
      </c>
      <c r="D9" s="86" t="s">
        <v>155</v>
      </c>
      <c r="E9" s="86" t="s">
        <v>155</v>
      </c>
      <c r="F9" s="86" t="s">
        <v>155</v>
      </c>
      <c r="G9" s="86" t="s">
        <v>155</v>
      </c>
      <c r="H9" s="86" t="s">
        <v>155</v>
      </c>
      <c r="I9" s="86" t="s">
        <v>155</v>
      </c>
      <c r="J9" s="86" t="s">
        <v>155</v>
      </c>
      <c r="K9" s="86" t="s">
        <v>155</v>
      </c>
      <c r="L9" s="86" t="s">
        <v>155</v>
      </c>
      <c r="M9" s="86" t="s">
        <v>155</v>
      </c>
      <c r="N9" s="86" t="s">
        <v>155</v>
      </c>
      <c r="O9" s="86" t="s">
        <v>155</v>
      </c>
      <c r="P9" s="86" t="s">
        <v>155</v>
      </c>
      <c r="Q9" s="86" t="s">
        <v>155</v>
      </c>
      <c r="R9" s="86" t="s">
        <v>155</v>
      </c>
      <c r="S9" s="86" t="s">
        <v>155</v>
      </c>
      <c r="T9" s="86" t="s">
        <v>155</v>
      </c>
      <c r="U9" s="86" t="s">
        <v>155</v>
      </c>
      <c r="V9" s="86" t="s">
        <v>155</v>
      </c>
      <c r="W9" s="86" t="s">
        <v>155</v>
      </c>
      <c r="X9" s="86" t="s">
        <v>155</v>
      </c>
      <c r="Y9" s="86" t="s">
        <v>155</v>
      </c>
      <c r="Z9" s="86" t="s">
        <v>155</v>
      </c>
      <c r="AA9" s="86" t="s">
        <v>155</v>
      </c>
      <c r="AB9" s="86" t="s">
        <v>155</v>
      </c>
      <c r="AC9" s="86" t="s">
        <v>155</v>
      </c>
      <c r="AD9" s="86" t="s">
        <v>155</v>
      </c>
      <c r="AE9" s="86" t="s">
        <v>155</v>
      </c>
      <c r="AF9" s="86" t="s">
        <v>155</v>
      </c>
      <c r="AG9" s="82">
        <f t="shared" si="0"/>
        <v>0</v>
      </c>
    </row>
    <row r="10" spans="1:35" ht="19.95" customHeight="1" x14ac:dyDescent="0.3">
      <c r="A10" s="27" t="s">
        <v>168</v>
      </c>
      <c r="B10" s="86" t="s">
        <v>155</v>
      </c>
      <c r="C10" s="86" t="s">
        <v>155</v>
      </c>
      <c r="D10" s="86" t="s">
        <v>155</v>
      </c>
      <c r="E10" s="86" t="s">
        <v>155</v>
      </c>
      <c r="F10" s="86" t="s">
        <v>155</v>
      </c>
      <c r="G10" s="86" t="s">
        <v>155</v>
      </c>
      <c r="H10" s="86" t="s">
        <v>155</v>
      </c>
      <c r="I10" s="86" t="s">
        <v>155</v>
      </c>
      <c r="J10" s="86" t="s">
        <v>155</v>
      </c>
      <c r="K10" s="86" t="s">
        <v>155</v>
      </c>
      <c r="L10" s="86" t="s">
        <v>155</v>
      </c>
      <c r="M10" s="86" t="s">
        <v>155</v>
      </c>
      <c r="N10" s="86" t="s">
        <v>155</v>
      </c>
      <c r="O10" s="86" t="s">
        <v>155</v>
      </c>
      <c r="P10" s="86" t="s">
        <v>155</v>
      </c>
      <c r="Q10" s="86" t="s">
        <v>155</v>
      </c>
      <c r="R10" s="86" t="s">
        <v>155</v>
      </c>
      <c r="S10" s="86" t="s">
        <v>155</v>
      </c>
      <c r="T10" s="86" t="s">
        <v>155</v>
      </c>
      <c r="U10" s="86" t="s">
        <v>155</v>
      </c>
      <c r="V10" s="86" t="s">
        <v>155</v>
      </c>
      <c r="W10" s="86" t="s">
        <v>155</v>
      </c>
      <c r="X10" s="86" t="s">
        <v>155</v>
      </c>
      <c r="Y10" s="86" t="s">
        <v>155</v>
      </c>
      <c r="Z10" s="86" t="s">
        <v>155</v>
      </c>
      <c r="AA10" s="86" t="s">
        <v>155</v>
      </c>
      <c r="AB10" s="86" t="s">
        <v>155</v>
      </c>
      <c r="AC10" s="86" t="s">
        <v>155</v>
      </c>
      <c r="AD10" s="86" t="s">
        <v>155</v>
      </c>
      <c r="AE10" s="86" t="s">
        <v>155</v>
      </c>
      <c r="AF10" s="86" t="s">
        <v>155</v>
      </c>
      <c r="AG10" s="82">
        <f t="shared" si="0"/>
        <v>0</v>
      </c>
    </row>
    <row r="11" spans="1:35" ht="19.95" customHeight="1" x14ac:dyDescent="0.3">
      <c r="A11" s="27" t="s">
        <v>173</v>
      </c>
      <c r="B11" s="86" t="s">
        <v>155</v>
      </c>
      <c r="C11" s="86" t="s">
        <v>155</v>
      </c>
      <c r="D11" s="86" t="s">
        <v>155</v>
      </c>
      <c r="E11" s="86" t="s">
        <v>155</v>
      </c>
      <c r="F11" s="86" t="s">
        <v>155</v>
      </c>
      <c r="G11" s="86" t="s">
        <v>155</v>
      </c>
      <c r="H11" s="86" t="s">
        <v>155</v>
      </c>
      <c r="I11" s="86" t="s">
        <v>155</v>
      </c>
      <c r="J11" s="86" t="s">
        <v>155</v>
      </c>
      <c r="K11" s="86" t="s">
        <v>155</v>
      </c>
      <c r="L11" s="86" t="s">
        <v>155</v>
      </c>
      <c r="M11" s="86" t="s">
        <v>155</v>
      </c>
      <c r="N11" s="86" t="s">
        <v>155</v>
      </c>
      <c r="O11" s="86" t="s">
        <v>155</v>
      </c>
      <c r="P11" s="86" t="s">
        <v>155</v>
      </c>
      <c r="Q11" s="86" t="s">
        <v>155</v>
      </c>
      <c r="R11" s="86" t="s">
        <v>155</v>
      </c>
      <c r="S11" s="86" t="s">
        <v>155</v>
      </c>
      <c r="T11" s="86" t="s">
        <v>155</v>
      </c>
      <c r="U11" s="86" t="s">
        <v>155</v>
      </c>
      <c r="V11" s="86" t="s">
        <v>155</v>
      </c>
      <c r="W11" s="86" t="s">
        <v>155</v>
      </c>
      <c r="X11" s="86" t="s">
        <v>155</v>
      </c>
      <c r="Y11" s="86" t="s">
        <v>155</v>
      </c>
      <c r="Z11" s="86" t="s">
        <v>155</v>
      </c>
      <c r="AA11" s="86" t="s">
        <v>155</v>
      </c>
      <c r="AB11" s="86" t="s">
        <v>155</v>
      </c>
      <c r="AC11" s="86" t="s">
        <v>155</v>
      </c>
      <c r="AD11" s="86" t="s">
        <v>155</v>
      </c>
      <c r="AE11" s="86" t="s">
        <v>155</v>
      </c>
      <c r="AF11" s="86" t="s">
        <v>155</v>
      </c>
      <c r="AG11" s="82">
        <f t="shared" si="0"/>
        <v>0</v>
      </c>
    </row>
    <row r="12" spans="1:35" ht="19.95" customHeight="1" x14ac:dyDescent="0.3">
      <c r="A12" s="27" t="s">
        <v>1098</v>
      </c>
      <c r="B12" s="86" t="s">
        <v>155</v>
      </c>
      <c r="C12" s="86" t="s">
        <v>155</v>
      </c>
      <c r="D12" s="86" t="s">
        <v>155</v>
      </c>
      <c r="E12" s="86" t="s">
        <v>155</v>
      </c>
      <c r="F12" s="86" t="s">
        <v>155</v>
      </c>
      <c r="G12" s="86" t="s">
        <v>155</v>
      </c>
      <c r="H12" s="86" t="s">
        <v>155</v>
      </c>
      <c r="I12" s="86" t="s">
        <v>155</v>
      </c>
      <c r="J12" s="86" t="s">
        <v>155</v>
      </c>
      <c r="K12" s="86" t="s">
        <v>155</v>
      </c>
      <c r="L12" s="86" t="s">
        <v>155</v>
      </c>
      <c r="M12" s="86" t="s">
        <v>155</v>
      </c>
      <c r="N12" s="86" t="s">
        <v>155</v>
      </c>
      <c r="O12" s="86" t="s">
        <v>155</v>
      </c>
      <c r="P12" s="86" t="s">
        <v>155</v>
      </c>
      <c r="Q12" s="86" t="s">
        <v>155</v>
      </c>
      <c r="R12" s="86" t="s">
        <v>155</v>
      </c>
      <c r="S12" s="86" t="s">
        <v>155</v>
      </c>
      <c r="T12" s="86" t="s">
        <v>155</v>
      </c>
      <c r="U12" s="86" t="s">
        <v>155</v>
      </c>
      <c r="V12" s="86" t="s">
        <v>155</v>
      </c>
      <c r="W12" s="86" t="s">
        <v>155</v>
      </c>
      <c r="X12" s="86" t="s">
        <v>155</v>
      </c>
      <c r="Y12" s="86" t="s">
        <v>155</v>
      </c>
      <c r="Z12" s="86" t="s">
        <v>155</v>
      </c>
      <c r="AA12" s="86" t="s">
        <v>155</v>
      </c>
      <c r="AB12" s="86" t="s">
        <v>155</v>
      </c>
      <c r="AC12" s="86" t="s">
        <v>155</v>
      </c>
      <c r="AD12" s="86" t="s">
        <v>155</v>
      </c>
      <c r="AE12" s="86" t="s">
        <v>155</v>
      </c>
      <c r="AF12" s="86" t="s">
        <v>155</v>
      </c>
      <c r="AG12" s="82">
        <f t="shared" si="0"/>
        <v>0</v>
      </c>
    </row>
    <row r="13" spans="1:35" ht="19.95" customHeight="1" x14ac:dyDescent="0.3">
      <c r="A13" s="27" t="s">
        <v>1099</v>
      </c>
      <c r="B13" s="86" t="s">
        <v>155</v>
      </c>
      <c r="C13" s="86" t="s">
        <v>155</v>
      </c>
      <c r="D13" s="86" t="s">
        <v>155</v>
      </c>
      <c r="E13" s="86" t="s">
        <v>155</v>
      </c>
      <c r="F13" s="86" t="s">
        <v>155</v>
      </c>
      <c r="G13" s="86" t="s">
        <v>155</v>
      </c>
      <c r="H13" s="86" t="s">
        <v>155</v>
      </c>
      <c r="I13" s="86" t="s">
        <v>155</v>
      </c>
      <c r="J13" s="86" t="s">
        <v>155</v>
      </c>
      <c r="K13" s="86" t="s">
        <v>155</v>
      </c>
      <c r="L13" s="86" t="s">
        <v>155</v>
      </c>
      <c r="M13" s="86" t="s">
        <v>155</v>
      </c>
      <c r="N13" s="86" t="s">
        <v>155</v>
      </c>
      <c r="O13" s="86" t="s">
        <v>155</v>
      </c>
      <c r="P13" s="86" t="s">
        <v>155</v>
      </c>
      <c r="Q13" s="86" t="s">
        <v>155</v>
      </c>
      <c r="R13" s="86" t="s">
        <v>155</v>
      </c>
      <c r="S13" s="86" t="s">
        <v>155</v>
      </c>
      <c r="T13" s="86" t="s">
        <v>155</v>
      </c>
      <c r="U13" s="86" t="s">
        <v>155</v>
      </c>
      <c r="V13" s="86" t="s">
        <v>155</v>
      </c>
      <c r="W13" s="86" t="s">
        <v>155</v>
      </c>
      <c r="X13" s="86" t="s">
        <v>155</v>
      </c>
      <c r="Y13" s="86" t="s">
        <v>155</v>
      </c>
      <c r="Z13" s="86" t="s">
        <v>155</v>
      </c>
      <c r="AA13" s="86" t="s">
        <v>155</v>
      </c>
      <c r="AB13" s="86" t="s">
        <v>155</v>
      </c>
      <c r="AC13" s="86" t="s">
        <v>155</v>
      </c>
      <c r="AD13" s="86" t="s">
        <v>155</v>
      </c>
      <c r="AE13" s="86" t="s">
        <v>155</v>
      </c>
      <c r="AF13" s="86" t="s">
        <v>155</v>
      </c>
      <c r="AG13" s="82">
        <f t="shared" si="0"/>
        <v>0</v>
      </c>
    </row>
    <row r="14" spans="1:35" ht="19.95" customHeight="1" x14ac:dyDescent="0.3">
      <c r="A14" s="27" t="s">
        <v>1100</v>
      </c>
      <c r="B14" s="86" t="s">
        <v>155</v>
      </c>
      <c r="C14" s="86" t="s">
        <v>155</v>
      </c>
      <c r="D14" s="86" t="s">
        <v>155</v>
      </c>
      <c r="E14" s="86" t="s">
        <v>155</v>
      </c>
      <c r="F14" s="86" t="s">
        <v>155</v>
      </c>
      <c r="G14" s="86" t="s">
        <v>155</v>
      </c>
      <c r="H14" s="86" t="s">
        <v>155</v>
      </c>
      <c r="I14" s="86" t="s">
        <v>155</v>
      </c>
      <c r="J14" s="86" t="s">
        <v>155</v>
      </c>
      <c r="K14" s="86" t="s">
        <v>155</v>
      </c>
      <c r="L14" s="86" t="s">
        <v>155</v>
      </c>
      <c r="M14" s="86" t="s">
        <v>155</v>
      </c>
      <c r="N14" s="86" t="s">
        <v>155</v>
      </c>
      <c r="O14" s="86" t="s">
        <v>155</v>
      </c>
      <c r="P14" s="86" t="s">
        <v>155</v>
      </c>
      <c r="Q14" s="86" t="s">
        <v>155</v>
      </c>
      <c r="R14" s="86" t="s">
        <v>155</v>
      </c>
      <c r="S14" s="86" t="s">
        <v>155</v>
      </c>
      <c r="T14" s="86" t="s">
        <v>155</v>
      </c>
      <c r="U14" s="86" t="s">
        <v>155</v>
      </c>
      <c r="V14" s="86" t="s">
        <v>155</v>
      </c>
      <c r="W14" s="86" t="s">
        <v>155</v>
      </c>
      <c r="X14" s="86" t="s">
        <v>155</v>
      </c>
      <c r="Y14" s="86" t="s">
        <v>155</v>
      </c>
      <c r="Z14" s="86" t="s">
        <v>155</v>
      </c>
      <c r="AA14" s="86" t="s">
        <v>155</v>
      </c>
      <c r="AB14" s="86" t="s">
        <v>155</v>
      </c>
      <c r="AC14" s="86" t="s">
        <v>155</v>
      </c>
      <c r="AD14" s="86" t="s">
        <v>155</v>
      </c>
      <c r="AE14" s="86" t="s">
        <v>155</v>
      </c>
      <c r="AF14" s="86" t="s">
        <v>155</v>
      </c>
      <c r="AG14" s="82">
        <f t="shared" si="0"/>
        <v>0</v>
      </c>
    </row>
    <row r="15" spans="1:35" ht="19.95" customHeight="1" x14ac:dyDescent="0.3">
      <c r="A15" s="27" t="s">
        <v>193</v>
      </c>
      <c r="B15" s="86" t="s">
        <v>155</v>
      </c>
      <c r="C15" s="86" t="s">
        <v>155</v>
      </c>
      <c r="D15" s="86" t="s">
        <v>155</v>
      </c>
      <c r="E15" s="86" t="s">
        <v>155</v>
      </c>
      <c r="F15" s="86" t="s">
        <v>155</v>
      </c>
      <c r="G15" s="86" t="s">
        <v>155</v>
      </c>
      <c r="H15" s="86" t="s">
        <v>155</v>
      </c>
      <c r="I15" s="86" t="s">
        <v>155</v>
      </c>
      <c r="J15" s="86" t="s">
        <v>155</v>
      </c>
      <c r="K15" s="86" t="s">
        <v>155</v>
      </c>
      <c r="L15" s="86" t="s">
        <v>155</v>
      </c>
      <c r="M15" s="86" t="s">
        <v>155</v>
      </c>
      <c r="N15" s="86" t="s">
        <v>155</v>
      </c>
      <c r="O15" s="86" t="s">
        <v>155</v>
      </c>
      <c r="P15" s="86" t="s">
        <v>155</v>
      </c>
      <c r="Q15" s="86" t="s">
        <v>155</v>
      </c>
      <c r="R15" s="86" t="s">
        <v>155</v>
      </c>
      <c r="S15" s="86" t="s">
        <v>155</v>
      </c>
      <c r="T15" s="86" t="s">
        <v>155</v>
      </c>
      <c r="U15" s="86" t="s">
        <v>155</v>
      </c>
      <c r="V15" s="86" t="s">
        <v>155</v>
      </c>
      <c r="W15" s="86" t="s">
        <v>155</v>
      </c>
      <c r="X15" s="86" t="s">
        <v>155</v>
      </c>
      <c r="Y15" s="86" t="s">
        <v>155</v>
      </c>
      <c r="Z15" s="86" t="s">
        <v>155</v>
      </c>
      <c r="AA15" s="86" t="s">
        <v>155</v>
      </c>
      <c r="AB15" s="86" t="s">
        <v>155</v>
      </c>
      <c r="AC15" s="86" t="s">
        <v>155</v>
      </c>
      <c r="AD15" s="86" t="s">
        <v>155</v>
      </c>
      <c r="AE15" s="86" t="s">
        <v>155</v>
      </c>
      <c r="AF15" s="86" t="s">
        <v>155</v>
      </c>
      <c r="AG15" s="82">
        <f t="shared" si="0"/>
        <v>0</v>
      </c>
    </row>
    <row r="16" spans="1:35" ht="19.95" customHeight="1" x14ac:dyDescent="0.3">
      <c r="A16" s="27" t="s">
        <v>1101</v>
      </c>
      <c r="B16" s="86" t="s">
        <v>155</v>
      </c>
      <c r="C16" s="86" t="s">
        <v>155</v>
      </c>
      <c r="D16" s="86" t="s">
        <v>155</v>
      </c>
      <c r="E16" s="86" t="s">
        <v>155</v>
      </c>
      <c r="F16" s="86" t="s">
        <v>155</v>
      </c>
      <c r="G16" s="86" t="s">
        <v>155</v>
      </c>
      <c r="H16" s="86" t="s">
        <v>155</v>
      </c>
      <c r="I16" s="86" t="s">
        <v>155</v>
      </c>
      <c r="J16" s="86" t="s">
        <v>155</v>
      </c>
      <c r="K16" s="86" t="s">
        <v>155</v>
      </c>
      <c r="L16" s="86" t="s">
        <v>155</v>
      </c>
      <c r="M16" s="86" t="s">
        <v>155</v>
      </c>
      <c r="N16" s="86" t="s">
        <v>155</v>
      </c>
      <c r="O16" s="86" t="s">
        <v>155</v>
      </c>
      <c r="P16" s="86" t="s">
        <v>155</v>
      </c>
      <c r="Q16" s="86" t="s">
        <v>155</v>
      </c>
      <c r="R16" s="86" t="s">
        <v>155</v>
      </c>
      <c r="S16" s="86" t="s">
        <v>155</v>
      </c>
      <c r="T16" s="86" t="s">
        <v>155</v>
      </c>
      <c r="U16" s="86" t="s">
        <v>155</v>
      </c>
      <c r="V16" s="86" t="s">
        <v>155</v>
      </c>
      <c r="W16" s="86" t="s">
        <v>155</v>
      </c>
      <c r="X16" s="86" t="s">
        <v>155</v>
      </c>
      <c r="Y16" s="86" t="s">
        <v>155</v>
      </c>
      <c r="Z16" s="86" t="s">
        <v>155</v>
      </c>
      <c r="AA16" s="86" t="s">
        <v>155</v>
      </c>
      <c r="AB16" s="86" t="s">
        <v>155</v>
      </c>
      <c r="AC16" s="86" t="s">
        <v>155</v>
      </c>
      <c r="AD16" s="86" t="s">
        <v>155</v>
      </c>
      <c r="AE16" s="86" t="s">
        <v>155</v>
      </c>
      <c r="AF16" s="86" t="s">
        <v>155</v>
      </c>
      <c r="AG16" s="82">
        <f t="shared" si="0"/>
        <v>0</v>
      </c>
    </row>
    <row r="17" spans="1:33" ht="19.95" customHeight="1" x14ac:dyDescent="0.3">
      <c r="A17" s="27" t="s">
        <v>1102</v>
      </c>
      <c r="B17" s="86" t="s">
        <v>155</v>
      </c>
      <c r="C17" s="86" t="s">
        <v>155</v>
      </c>
      <c r="D17" s="86" t="s">
        <v>155</v>
      </c>
      <c r="E17" s="86" t="s">
        <v>155</v>
      </c>
      <c r="F17" s="86" t="s">
        <v>155</v>
      </c>
      <c r="G17" s="86" t="s">
        <v>155</v>
      </c>
      <c r="H17" s="86" t="s">
        <v>155</v>
      </c>
      <c r="I17" s="86" t="s">
        <v>155</v>
      </c>
      <c r="J17" s="86" t="s">
        <v>155</v>
      </c>
      <c r="K17" s="86" t="s">
        <v>155</v>
      </c>
      <c r="L17" s="86" t="s">
        <v>155</v>
      </c>
      <c r="M17" s="86" t="s">
        <v>155</v>
      </c>
      <c r="N17" s="86" t="s">
        <v>155</v>
      </c>
      <c r="O17" s="86" t="s">
        <v>155</v>
      </c>
      <c r="P17" s="86" t="s">
        <v>155</v>
      </c>
      <c r="Q17" s="86" t="s">
        <v>155</v>
      </c>
      <c r="R17" s="86" t="s">
        <v>155</v>
      </c>
      <c r="S17" s="86" t="s">
        <v>155</v>
      </c>
      <c r="T17" s="86" t="s">
        <v>155</v>
      </c>
      <c r="U17" s="86" t="s">
        <v>155</v>
      </c>
      <c r="V17" s="86" t="s">
        <v>155</v>
      </c>
      <c r="W17" s="86" t="s">
        <v>155</v>
      </c>
      <c r="X17" s="86" t="s">
        <v>155</v>
      </c>
      <c r="Y17" s="86" t="s">
        <v>155</v>
      </c>
      <c r="Z17" s="86" t="s">
        <v>155</v>
      </c>
      <c r="AA17" s="86" t="s">
        <v>155</v>
      </c>
      <c r="AB17" s="86" t="s">
        <v>155</v>
      </c>
      <c r="AC17" s="86" t="s">
        <v>155</v>
      </c>
      <c r="AD17" s="86" t="s">
        <v>155</v>
      </c>
      <c r="AE17" s="86" t="s">
        <v>155</v>
      </c>
      <c r="AF17" s="86" t="s">
        <v>155</v>
      </c>
      <c r="AG17" s="82">
        <f t="shared" si="0"/>
        <v>0</v>
      </c>
    </row>
    <row r="18" spans="1:33" ht="19.95" customHeight="1" x14ac:dyDescent="0.3">
      <c r="A18" s="27" t="s">
        <v>1103</v>
      </c>
      <c r="B18" s="86" t="s">
        <v>155</v>
      </c>
      <c r="C18" s="86" t="s">
        <v>155</v>
      </c>
      <c r="D18" s="86" t="s">
        <v>155</v>
      </c>
      <c r="E18" s="86" t="s">
        <v>155</v>
      </c>
      <c r="F18" s="86" t="s">
        <v>155</v>
      </c>
      <c r="G18" s="86" t="s">
        <v>155</v>
      </c>
      <c r="H18" s="86" t="s">
        <v>155</v>
      </c>
      <c r="I18" s="86" t="s">
        <v>155</v>
      </c>
      <c r="J18" s="86" t="s">
        <v>155</v>
      </c>
      <c r="K18" s="86" t="s">
        <v>155</v>
      </c>
      <c r="L18" s="86" t="s">
        <v>155</v>
      </c>
      <c r="M18" s="86" t="s">
        <v>155</v>
      </c>
      <c r="N18" s="86" t="s">
        <v>155</v>
      </c>
      <c r="O18" s="86" t="s">
        <v>155</v>
      </c>
      <c r="P18" s="86" t="s">
        <v>155</v>
      </c>
      <c r="Q18" s="86" t="s">
        <v>155</v>
      </c>
      <c r="R18" s="86" t="s">
        <v>155</v>
      </c>
      <c r="S18" s="86" t="s">
        <v>155</v>
      </c>
      <c r="T18" s="86" t="s">
        <v>155</v>
      </c>
      <c r="U18" s="86" t="s">
        <v>155</v>
      </c>
      <c r="V18" s="86" t="s">
        <v>155</v>
      </c>
      <c r="W18" s="86" t="s">
        <v>155</v>
      </c>
      <c r="X18" s="86" t="s">
        <v>155</v>
      </c>
      <c r="Y18" s="86" t="s">
        <v>155</v>
      </c>
      <c r="Z18" s="86" t="s">
        <v>155</v>
      </c>
      <c r="AA18" s="86" t="s">
        <v>155</v>
      </c>
      <c r="AB18" s="86" t="s">
        <v>155</v>
      </c>
      <c r="AC18" s="86" t="s">
        <v>155</v>
      </c>
      <c r="AD18" s="86" t="s">
        <v>155</v>
      </c>
      <c r="AE18" s="86" t="s">
        <v>155</v>
      </c>
      <c r="AF18" s="86" t="s">
        <v>155</v>
      </c>
      <c r="AG18" s="82">
        <f t="shared" si="0"/>
        <v>0</v>
      </c>
    </row>
    <row r="19" spans="1:33" ht="19.95" customHeight="1" x14ac:dyDescent="0.3">
      <c r="A19" s="27" t="s">
        <v>169</v>
      </c>
      <c r="B19" s="86" t="s">
        <v>155</v>
      </c>
      <c r="C19" s="86" t="s">
        <v>155</v>
      </c>
      <c r="D19" s="86" t="s">
        <v>155</v>
      </c>
      <c r="E19" s="86" t="s">
        <v>155</v>
      </c>
      <c r="F19" s="86" t="s">
        <v>155</v>
      </c>
      <c r="G19" s="86" t="s">
        <v>155</v>
      </c>
      <c r="H19" s="86" t="s">
        <v>155</v>
      </c>
      <c r="I19" s="86" t="s">
        <v>155</v>
      </c>
      <c r="J19" s="86" t="s">
        <v>155</v>
      </c>
      <c r="K19" s="86" t="s">
        <v>155</v>
      </c>
      <c r="L19" s="86" t="s">
        <v>155</v>
      </c>
      <c r="M19" s="86" t="s">
        <v>155</v>
      </c>
      <c r="N19" s="86" t="s">
        <v>155</v>
      </c>
      <c r="O19" s="86" t="s">
        <v>155</v>
      </c>
      <c r="P19" s="86" t="s">
        <v>155</v>
      </c>
      <c r="Q19" s="86" t="s">
        <v>155</v>
      </c>
      <c r="R19" s="86" t="s">
        <v>155</v>
      </c>
      <c r="S19" s="86" t="s">
        <v>155</v>
      </c>
      <c r="T19" s="86" t="s">
        <v>155</v>
      </c>
      <c r="U19" s="86" t="s">
        <v>155</v>
      </c>
      <c r="V19" s="86" t="s">
        <v>155</v>
      </c>
      <c r="W19" s="86" t="s">
        <v>155</v>
      </c>
      <c r="X19" s="86" t="s">
        <v>155</v>
      </c>
      <c r="Y19" s="86" t="s">
        <v>155</v>
      </c>
      <c r="Z19" s="86" t="s">
        <v>155</v>
      </c>
      <c r="AA19" s="86" t="s">
        <v>155</v>
      </c>
      <c r="AB19" s="86" t="s">
        <v>155</v>
      </c>
      <c r="AC19" s="86" t="s">
        <v>155</v>
      </c>
      <c r="AD19" s="86" t="s">
        <v>155</v>
      </c>
      <c r="AE19" s="86" t="s">
        <v>155</v>
      </c>
      <c r="AF19" s="86" t="s">
        <v>155</v>
      </c>
      <c r="AG19" s="82">
        <f t="shared" si="0"/>
        <v>0</v>
      </c>
    </row>
    <row r="20" spans="1:33" ht="19.95" customHeight="1" x14ac:dyDescent="0.3">
      <c r="A20" s="27" t="s">
        <v>1104</v>
      </c>
      <c r="B20" s="86" t="s">
        <v>155</v>
      </c>
      <c r="C20" s="86" t="s">
        <v>155</v>
      </c>
      <c r="D20" s="86" t="s">
        <v>155</v>
      </c>
      <c r="E20" s="86" t="s">
        <v>155</v>
      </c>
      <c r="F20" s="86" t="s">
        <v>155</v>
      </c>
      <c r="G20" s="86" t="s">
        <v>155</v>
      </c>
      <c r="H20" s="86" t="s">
        <v>155</v>
      </c>
      <c r="I20" s="86" t="s">
        <v>155</v>
      </c>
      <c r="J20" s="86" t="s">
        <v>155</v>
      </c>
      <c r="K20" s="86" t="s">
        <v>155</v>
      </c>
      <c r="L20" s="86" t="s">
        <v>155</v>
      </c>
      <c r="M20" s="86" t="s">
        <v>155</v>
      </c>
      <c r="N20" s="86" t="s">
        <v>155</v>
      </c>
      <c r="O20" s="86" t="s">
        <v>155</v>
      </c>
      <c r="P20" s="86" t="s">
        <v>155</v>
      </c>
      <c r="Q20" s="86" t="s">
        <v>155</v>
      </c>
      <c r="R20" s="86" t="s">
        <v>155</v>
      </c>
      <c r="S20" s="86" t="s">
        <v>155</v>
      </c>
      <c r="T20" s="86" t="s">
        <v>155</v>
      </c>
      <c r="U20" s="86" t="s">
        <v>155</v>
      </c>
      <c r="V20" s="86" t="s">
        <v>155</v>
      </c>
      <c r="W20" s="86" t="s">
        <v>155</v>
      </c>
      <c r="X20" s="86" t="s">
        <v>155</v>
      </c>
      <c r="Y20" s="86" t="s">
        <v>155</v>
      </c>
      <c r="Z20" s="86" t="s">
        <v>155</v>
      </c>
      <c r="AA20" s="86" t="s">
        <v>155</v>
      </c>
      <c r="AB20" s="86" t="s">
        <v>155</v>
      </c>
      <c r="AC20" s="86" t="s">
        <v>155</v>
      </c>
      <c r="AD20" s="86" t="s">
        <v>155</v>
      </c>
      <c r="AE20" s="86" t="s">
        <v>155</v>
      </c>
      <c r="AF20" s="86" t="s">
        <v>155</v>
      </c>
      <c r="AG20" s="82">
        <f t="shared" si="0"/>
        <v>0</v>
      </c>
    </row>
  </sheetData>
  <mergeCells count="1">
    <mergeCell ref="A1:AI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43EF-8B4C-4109-89F6-DA15EBE6A68F}">
  <sheetPr codeName="Sheet50"/>
  <dimension ref="A1:L8"/>
  <sheetViews>
    <sheetView workbookViewId="0">
      <selection sqref="A1:L1"/>
    </sheetView>
  </sheetViews>
  <sheetFormatPr defaultRowHeight="14.4" x14ac:dyDescent="0.3"/>
  <cols>
    <col min="1" max="1" width="10.77734375" customWidth="1"/>
    <col min="2" max="8" width="15.77734375" customWidth="1"/>
    <col min="9" max="9" width="10.77734375" customWidth="1"/>
    <col min="10" max="10" width="12.77734375" customWidth="1"/>
  </cols>
  <sheetData>
    <row r="1" spans="1:12" ht="30" customHeight="1" x14ac:dyDescent="0.3">
      <c r="A1" s="158" t="s">
        <v>1169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142</v>
      </c>
      <c r="B3" s="48" t="s">
        <v>143</v>
      </c>
      <c r="C3" s="48" t="s">
        <v>144</v>
      </c>
      <c r="D3" s="48" t="s">
        <v>145</v>
      </c>
      <c r="E3" s="48" t="s">
        <v>146</v>
      </c>
      <c r="F3" s="48" t="s">
        <v>147</v>
      </c>
      <c r="G3" s="48" t="s">
        <v>148</v>
      </c>
      <c r="H3" s="48" t="s">
        <v>149</v>
      </c>
      <c r="I3" s="48" t="s">
        <v>1105</v>
      </c>
      <c r="J3" s="48" t="s">
        <v>508</v>
      </c>
      <c r="K3" s="2"/>
      <c r="L3" s="2"/>
    </row>
    <row r="4" spans="1:12" ht="28.05" customHeight="1" x14ac:dyDescent="0.3">
      <c r="A4" s="37">
        <v>0.3125</v>
      </c>
      <c r="B4" s="16" t="s">
        <v>158</v>
      </c>
      <c r="C4" s="16" t="s">
        <v>158</v>
      </c>
      <c r="D4" s="16" t="s">
        <v>158</v>
      </c>
      <c r="E4" s="16" t="s">
        <v>158</v>
      </c>
      <c r="F4" s="16" t="s">
        <v>158</v>
      </c>
      <c r="G4" s="16" t="s">
        <v>158</v>
      </c>
      <c r="H4" s="16" t="s">
        <v>1106</v>
      </c>
      <c r="I4" s="16">
        <v>0.5</v>
      </c>
      <c r="J4" s="16" t="s">
        <v>763</v>
      </c>
    </row>
    <row r="5" spans="1:12" ht="28.05" customHeight="1" x14ac:dyDescent="0.3">
      <c r="A5" s="37">
        <v>0.54166666666666663</v>
      </c>
      <c r="B5" s="16" t="s">
        <v>1107</v>
      </c>
      <c r="C5" s="16" t="s">
        <v>1107</v>
      </c>
      <c r="D5" s="16" t="s">
        <v>1107</v>
      </c>
      <c r="E5" s="16" t="s">
        <v>1107</v>
      </c>
      <c r="F5" s="16" t="s">
        <v>1107</v>
      </c>
      <c r="G5" s="16" t="s">
        <v>1107</v>
      </c>
      <c r="H5" s="16" t="s">
        <v>1108</v>
      </c>
      <c r="I5" s="16">
        <v>1</v>
      </c>
      <c r="J5" s="16" t="s">
        <v>1067</v>
      </c>
    </row>
    <row r="6" spans="1:12" ht="28.05" customHeight="1" x14ac:dyDescent="0.3">
      <c r="A6" s="37">
        <v>0.58333333333333337</v>
      </c>
      <c r="B6" s="16" t="s">
        <v>1109</v>
      </c>
      <c r="C6" s="16" t="s">
        <v>1110</v>
      </c>
      <c r="D6" s="16" t="s">
        <v>1111</v>
      </c>
      <c r="E6" s="16" t="s">
        <v>1112</v>
      </c>
      <c r="F6" s="16" t="s">
        <v>1113</v>
      </c>
      <c r="G6" s="16" t="s">
        <v>1114</v>
      </c>
      <c r="H6" s="16" t="s">
        <v>270</v>
      </c>
      <c r="I6" s="16">
        <v>0.5</v>
      </c>
      <c r="J6" s="16" t="s">
        <v>1115</v>
      </c>
    </row>
    <row r="7" spans="1:12" ht="28.05" customHeight="1" x14ac:dyDescent="0.3">
      <c r="A7" s="37">
        <v>0.83333333333333337</v>
      </c>
      <c r="B7" s="16" t="s">
        <v>1114</v>
      </c>
      <c r="C7" s="16" t="s">
        <v>1116</v>
      </c>
      <c r="D7" s="16" t="s">
        <v>1116</v>
      </c>
      <c r="E7" s="16" t="s">
        <v>1116</v>
      </c>
      <c r="F7" s="16" t="s">
        <v>156</v>
      </c>
      <c r="G7" s="16" t="s">
        <v>1117</v>
      </c>
      <c r="H7" s="16" t="s">
        <v>1118</v>
      </c>
      <c r="I7" s="16">
        <v>0.5</v>
      </c>
      <c r="J7" s="16" t="s">
        <v>1115</v>
      </c>
    </row>
    <row r="8" spans="1:12" ht="28.05" customHeight="1" x14ac:dyDescent="0.3">
      <c r="A8" s="37">
        <v>0.875</v>
      </c>
      <c r="B8" s="16" t="s">
        <v>1119</v>
      </c>
      <c r="C8" s="16" t="s">
        <v>1119</v>
      </c>
      <c r="D8" s="16" t="s">
        <v>1119</v>
      </c>
      <c r="E8" s="16" t="s">
        <v>1119</v>
      </c>
      <c r="F8" s="16" t="s">
        <v>1119</v>
      </c>
      <c r="G8" s="16" t="s">
        <v>1119</v>
      </c>
      <c r="H8" s="16" t="s">
        <v>1120</v>
      </c>
      <c r="I8" s="16">
        <v>0.25</v>
      </c>
      <c r="J8" s="16" t="s">
        <v>1121</v>
      </c>
    </row>
  </sheetData>
  <mergeCells count="1">
    <mergeCell ref="A1:L1"/>
  </mergeCells>
  <hyperlinks>
    <hyperlink ref="A1" location="'Navigation'!A1" tooltip="Back" display="'Navigation'!A1" xr:uid="{40BAD976-E875-4764-92E9-E75B09572D33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4378-18AA-4B8C-BDB3-32C13AF8C554}">
  <sheetPr codeName="Sheet51"/>
  <dimension ref="A1:L16"/>
  <sheetViews>
    <sheetView workbookViewId="0"/>
  </sheetViews>
  <sheetFormatPr defaultRowHeight="14.4" x14ac:dyDescent="0.3"/>
  <cols>
    <col min="1" max="1" width="28.77734375" customWidth="1"/>
    <col min="2" max="10" width="8.77734375" customWidth="1"/>
    <col min="11" max="11" width="15.77734375" customWidth="1"/>
  </cols>
  <sheetData>
    <row r="1" spans="1:12" ht="30" customHeight="1" x14ac:dyDescent="0.3">
      <c r="A1" s="158" t="s">
        <v>1170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3" spans="1:12" ht="30" customHeight="1" x14ac:dyDescent="0.3">
      <c r="A3" s="47" t="s">
        <v>225</v>
      </c>
      <c r="B3" s="48" t="s">
        <v>143</v>
      </c>
      <c r="C3" s="48" t="s">
        <v>144</v>
      </c>
      <c r="D3" s="48" t="s">
        <v>145</v>
      </c>
      <c r="E3" s="48" t="s">
        <v>146</v>
      </c>
      <c r="F3" s="48" t="s">
        <v>147</v>
      </c>
      <c r="G3" s="48" t="s">
        <v>148</v>
      </c>
      <c r="H3" s="48" t="s">
        <v>149</v>
      </c>
      <c r="I3" s="48" t="s">
        <v>179</v>
      </c>
      <c r="J3" s="48" t="s">
        <v>180</v>
      </c>
      <c r="K3" s="48" t="s">
        <v>181</v>
      </c>
      <c r="L3" s="2"/>
    </row>
    <row r="4" spans="1:12" ht="22.05" customHeight="1" x14ac:dyDescent="0.3">
      <c r="A4" s="40" t="s">
        <v>1122</v>
      </c>
      <c r="B4" s="86" t="s">
        <v>155</v>
      </c>
      <c r="C4" s="86" t="s">
        <v>155</v>
      </c>
      <c r="D4" s="86" t="s">
        <v>155</v>
      </c>
      <c r="E4" s="86" t="s">
        <v>155</v>
      </c>
      <c r="F4" s="86" t="s">
        <v>155</v>
      </c>
      <c r="G4" s="86" t="s">
        <v>155</v>
      </c>
      <c r="H4" s="86" t="s">
        <v>155</v>
      </c>
      <c r="I4">
        <f t="shared" ref="I4:I16" si="0">COUNTIF(B4:H4,"✅")</f>
        <v>0</v>
      </c>
      <c r="J4" s="83">
        <f t="shared" ref="J4:J16" si="1">IFERROR(I4/7,0)</f>
        <v>0</v>
      </c>
      <c r="K4" t="str">
        <f t="shared" ref="K4:K16" si="2">IF(J4&gt;=0.9,"🟢 Excellent",IF(J4&gt;=0.7,"🟡 Good",IF(J4&gt;0,"🔴 Started","⚪ Not Started")))</f>
        <v>⚪ Not Started</v>
      </c>
    </row>
    <row r="5" spans="1:12" ht="22.05" customHeight="1" x14ac:dyDescent="0.3">
      <c r="A5" s="40" t="s">
        <v>1123</v>
      </c>
      <c r="B5" s="86" t="s">
        <v>155</v>
      </c>
      <c r="C5" s="86" t="s">
        <v>155</v>
      </c>
      <c r="D5" s="86" t="s">
        <v>155</v>
      </c>
      <c r="E5" s="86" t="s">
        <v>155</v>
      </c>
      <c r="F5" s="86" t="s">
        <v>155</v>
      </c>
      <c r="G5" s="86" t="s">
        <v>155</v>
      </c>
      <c r="H5" s="86" t="s">
        <v>155</v>
      </c>
      <c r="I5">
        <f t="shared" si="0"/>
        <v>0</v>
      </c>
      <c r="J5" s="83">
        <f t="shared" si="1"/>
        <v>0</v>
      </c>
      <c r="K5" t="str">
        <f t="shared" si="2"/>
        <v>⚪ Not Started</v>
      </c>
    </row>
    <row r="6" spans="1:12" ht="22.05" customHeight="1" x14ac:dyDescent="0.3">
      <c r="A6" s="40" t="s">
        <v>1124</v>
      </c>
      <c r="B6" s="86" t="s">
        <v>155</v>
      </c>
      <c r="C6" s="86" t="s">
        <v>155</v>
      </c>
      <c r="D6" s="86" t="s">
        <v>155</v>
      </c>
      <c r="E6" s="86" t="s">
        <v>155</v>
      </c>
      <c r="F6" s="86" t="s">
        <v>155</v>
      </c>
      <c r="G6" s="86" t="s">
        <v>155</v>
      </c>
      <c r="H6" s="86" t="s">
        <v>155</v>
      </c>
      <c r="I6">
        <f t="shared" si="0"/>
        <v>0</v>
      </c>
      <c r="J6" s="83">
        <f t="shared" si="1"/>
        <v>0</v>
      </c>
      <c r="K6" t="str">
        <f t="shared" si="2"/>
        <v>⚪ Not Started</v>
      </c>
    </row>
    <row r="7" spans="1:12" ht="22.05" customHeight="1" x14ac:dyDescent="0.3">
      <c r="A7" s="40" t="s">
        <v>1125</v>
      </c>
      <c r="B7" s="86" t="s">
        <v>155</v>
      </c>
      <c r="C7" s="86" t="s">
        <v>155</v>
      </c>
      <c r="D7" s="86" t="s">
        <v>155</v>
      </c>
      <c r="E7" s="86" t="s">
        <v>155</v>
      </c>
      <c r="F7" s="86" t="s">
        <v>155</v>
      </c>
      <c r="G7" s="86" t="s">
        <v>155</v>
      </c>
      <c r="H7" s="86" t="s">
        <v>155</v>
      </c>
      <c r="I7">
        <f t="shared" si="0"/>
        <v>0</v>
      </c>
      <c r="J7" s="83">
        <f t="shared" si="1"/>
        <v>0</v>
      </c>
      <c r="K7" t="str">
        <f t="shared" si="2"/>
        <v>⚪ Not Started</v>
      </c>
    </row>
    <row r="8" spans="1:12" ht="22.05" customHeight="1" x14ac:dyDescent="0.3">
      <c r="A8" s="40" t="s">
        <v>1126</v>
      </c>
      <c r="B8" s="86" t="s">
        <v>155</v>
      </c>
      <c r="C8" s="86" t="s">
        <v>155</v>
      </c>
      <c r="D8" s="86" t="s">
        <v>155</v>
      </c>
      <c r="E8" s="86" t="s">
        <v>155</v>
      </c>
      <c r="F8" s="86" t="s">
        <v>155</v>
      </c>
      <c r="G8" s="86" t="s">
        <v>155</v>
      </c>
      <c r="H8" s="86" t="s">
        <v>155</v>
      </c>
      <c r="I8">
        <f t="shared" si="0"/>
        <v>0</v>
      </c>
      <c r="J8" s="83">
        <f t="shared" si="1"/>
        <v>0</v>
      </c>
      <c r="K8" t="str">
        <f t="shared" si="2"/>
        <v>⚪ Not Started</v>
      </c>
    </row>
    <row r="9" spans="1:12" ht="22.05" customHeight="1" x14ac:dyDescent="0.3">
      <c r="A9" s="40" t="s">
        <v>1127</v>
      </c>
      <c r="B9" s="86" t="s">
        <v>155</v>
      </c>
      <c r="C9" s="86" t="s">
        <v>155</v>
      </c>
      <c r="D9" s="86" t="s">
        <v>155</v>
      </c>
      <c r="E9" s="86" t="s">
        <v>155</v>
      </c>
      <c r="F9" s="86" t="s">
        <v>155</v>
      </c>
      <c r="G9" s="86" t="s">
        <v>155</v>
      </c>
      <c r="H9" s="86" t="s">
        <v>155</v>
      </c>
      <c r="I9">
        <f t="shared" si="0"/>
        <v>0</v>
      </c>
      <c r="J9" s="83">
        <f t="shared" si="1"/>
        <v>0</v>
      </c>
      <c r="K9" t="str">
        <f t="shared" si="2"/>
        <v>⚪ Not Started</v>
      </c>
    </row>
    <row r="10" spans="1:12" ht="22.05" customHeight="1" x14ac:dyDescent="0.3">
      <c r="A10" s="40" t="s">
        <v>1128</v>
      </c>
      <c r="B10" s="86" t="s">
        <v>155</v>
      </c>
      <c r="C10" s="86" t="s">
        <v>155</v>
      </c>
      <c r="D10" s="86" t="s">
        <v>155</v>
      </c>
      <c r="E10" s="86" t="s">
        <v>155</v>
      </c>
      <c r="F10" s="86" t="s">
        <v>155</v>
      </c>
      <c r="G10" s="86" t="s">
        <v>155</v>
      </c>
      <c r="H10" s="86" t="s">
        <v>155</v>
      </c>
      <c r="I10">
        <f t="shared" si="0"/>
        <v>0</v>
      </c>
      <c r="J10" s="83">
        <f t="shared" si="1"/>
        <v>0</v>
      </c>
      <c r="K10" t="str">
        <f t="shared" si="2"/>
        <v>⚪ Not Started</v>
      </c>
    </row>
    <row r="11" spans="1:12" ht="22.05" customHeight="1" x14ac:dyDescent="0.3">
      <c r="A11" s="40" t="s">
        <v>1129</v>
      </c>
      <c r="B11" s="86" t="s">
        <v>155</v>
      </c>
      <c r="C11" s="86" t="s">
        <v>155</v>
      </c>
      <c r="D11" s="86" t="s">
        <v>155</v>
      </c>
      <c r="E11" s="86" t="s">
        <v>155</v>
      </c>
      <c r="F11" s="86" t="s">
        <v>155</v>
      </c>
      <c r="G11" s="86" t="s">
        <v>155</v>
      </c>
      <c r="H11" s="86" t="s">
        <v>155</v>
      </c>
      <c r="I11">
        <f t="shared" si="0"/>
        <v>0</v>
      </c>
      <c r="J11" s="83">
        <f t="shared" si="1"/>
        <v>0</v>
      </c>
      <c r="K11" t="str">
        <f t="shared" si="2"/>
        <v>⚪ Not Started</v>
      </c>
    </row>
    <row r="12" spans="1:12" ht="22.05" customHeight="1" x14ac:dyDescent="0.3">
      <c r="A12" s="40" t="s">
        <v>1130</v>
      </c>
      <c r="B12" s="86" t="s">
        <v>155</v>
      </c>
      <c r="C12" s="86" t="s">
        <v>155</v>
      </c>
      <c r="D12" s="86" t="s">
        <v>155</v>
      </c>
      <c r="E12" s="86" t="s">
        <v>155</v>
      </c>
      <c r="F12" s="86" t="s">
        <v>155</v>
      </c>
      <c r="G12" s="86" t="s">
        <v>155</v>
      </c>
      <c r="H12" s="86" t="s">
        <v>155</v>
      </c>
      <c r="I12">
        <f t="shared" si="0"/>
        <v>0</v>
      </c>
      <c r="J12" s="83">
        <f t="shared" si="1"/>
        <v>0</v>
      </c>
      <c r="K12" t="str">
        <f t="shared" si="2"/>
        <v>⚪ Not Started</v>
      </c>
    </row>
    <row r="13" spans="1:12" ht="22.05" customHeight="1" x14ac:dyDescent="0.3">
      <c r="A13" s="40" t="s">
        <v>1131</v>
      </c>
      <c r="B13" s="86" t="s">
        <v>155</v>
      </c>
      <c r="C13" s="86" t="s">
        <v>155</v>
      </c>
      <c r="D13" s="86" t="s">
        <v>155</v>
      </c>
      <c r="E13" s="86" t="s">
        <v>155</v>
      </c>
      <c r="F13" s="86" t="s">
        <v>155</v>
      </c>
      <c r="G13" s="86" t="s">
        <v>155</v>
      </c>
      <c r="H13" s="86" t="s">
        <v>155</v>
      </c>
      <c r="I13">
        <f t="shared" si="0"/>
        <v>0</v>
      </c>
      <c r="J13" s="83">
        <f t="shared" si="1"/>
        <v>0</v>
      </c>
      <c r="K13" t="str">
        <f t="shared" si="2"/>
        <v>⚪ Not Started</v>
      </c>
    </row>
    <row r="14" spans="1:12" ht="22.05" customHeight="1" x14ac:dyDescent="0.3">
      <c r="A14" s="40" t="s">
        <v>1132</v>
      </c>
      <c r="B14" s="86" t="s">
        <v>155</v>
      </c>
      <c r="C14" s="86" t="s">
        <v>155</v>
      </c>
      <c r="D14" s="86" t="s">
        <v>155</v>
      </c>
      <c r="E14" s="86" t="s">
        <v>155</v>
      </c>
      <c r="F14" s="86" t="s">
        <v>155</v>
      </c>
      <c r="G14" s="86" t="s">
        <v>155</v>
      </c>
      <c r="H14" s="86" t="s">
        <v>155</v>
      </c>
      <c r="I14">
        <f t="shared" si="0"/>
        <v>0</v>
      </c>
      <c r="J14" s="83">
        <f t="shared" si="1"/>
        <v>0</v>
      </c>
      <c r="K14" t="str">
        <f t="shared" si="2"/>
        <v>⚪ Not Started</v>
      </c>
    </row>
    <row r="15" spans="1:12" ht="22.05" customHeight="1" x14ac:dyDescent="0.3">
      <c r="A15" s="40" t="s">
        <v>1133</v>
      </c>
      <c r="B15" s="86" t="s">
        <v>155</v>
      </c>
      <c r="C15" s="86" t="s">
        <v>155</v>
      </c>
      <c r="D15" s="86" t="s">
        <v>155</v>
      </c>
      <c r="E15" s="86" t="s">
        <v>155</v>
      </c>
      <c r="F15" s="86" t="s">
        <v>155</v>
      </c>
      <c r="G15" s="86" t="s">
        <v>155</v>
      </c>
      <c r="H15" s="86" t="s">
        <v>155</v>
      </c>
      <c r="I15">
        <f t="shared" si="0"/>
        <v>0</v>
      </c>
      <c r="J15" s="83">
        <f t="shared" si="1"/>
        <v>0</v>
      </c>
      <c r="K15" t="str">
        <f t="shared" si="2"/>
        <v>⚪ Not Started</v>
      </c>
    </row>
    <row r="16" spans="1:12" ht="22.05" customHeight="1" x14ac:dyDescent="0.3">
      <c r="A16" s="40" t="s">
        <v>1134</v>
      </c>
      <c r="B16" s="86" t="s">
        <v>155</v>
      </c>
      <c r="C16" s="86" t="s">
        <v>155</v>
      </c>
      <c r="D16" s="86" t="s">
        <v>155</v>
      </c>
      <c r="E16" s="86" t="s">
        <v>155</v>
      </c>
      <c r="F16" s="86" t="s">
        <v>155</v>
      </c>
      <c r="G16" s="86" t="s">
        <v>155</v>
      </c>
      <c r="H16" s="86" t="s">
        <v>155</v>
      </c>
      <c r="I16">
        <f t="shared" si="0"/>
        <v>0</v>
      </c>
      <c r="J16" s="83">
        <f t="shared" si="1"/>
        <v>0</v>
      </c>
      <c r="K16" t="str">
        <f t="shared" si="2"/>
        <v>⚪ Not Started</v>
      </c>
    </row>
  </sheetData>
  <mergeCells count="1">
    <mergeCell ref="A1:L1"/>
  </mergeCells>
  <dataValidations count="1">
    <dataValidation type="list" allowBlank="1" showInputMessage="1" showErrorMessage="1" sqref="B4:H16" xr:uid="{A3A8D0AF-8F2E-4283-A37A-B3B71746186B}">
      <formula1>"✅,☐"</formula1>
    </dataValidation>
  </dataValidations>
  <hyperlinks>
    <hyperlink ref="A1" location="'Navigation'!A1" tooltip="Back" display="'Navigation'!A1" xr:uid="{7BD3D7FE-936C-4D0B-8489-9331281DC0E2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5A9E-9148-42E8-919B-48266252EC36}">
  <sheetPr codeName="Sheet52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F8CC2C3E-140C-4D10-8077-A8D33B8C9F31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27D9-5523-4532-9179-C6A88DEDB068}">
  <sheetPr codeName="Sheet53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30E7BDB7-0C07-4DF1-AABB-3A39F10C6C07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7F29-B82D-4A40-8473-AC26E8AF2422}">
  <sheetPr codeName="Sheet54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9021D5A3-8BB9-4480-BF18-EE5A6B8B0F12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695E-FCEF-4581-9369-A5BD98352319}">
  <sheetPr codeName="Sheet55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D69C6937-05F0-45CD-9E0D-965EE37728DF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37FA-F6D7-4D57-9A1E-DACBE7C58125}">
  <sheetPr codeName="Sheet56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D8AD514C-B5E0-4038-951D-58CE2AA54DE3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5A62-9C02-40F0-8ABD-ECA81817AF02}">
  <sheetPr codeName="Sheet57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ED2CDA64-3A6C-4BF2-8518-C49CFCA62E5B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4FC6-6CD6-474E-9490-C2FF8AEF3FAE}">
  <sheetPr codeName="Sheet58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2F55CFAB-CC19-440B-B29F-A7D3B1BC067F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2EF1-01AB-45CD-B540-AA526001D327}">
  <sheetPr codeName="Sheet59"/>
  <dimension ref="A1:L3"/>
  <sheetViews>
    <sheetView workbookViewId="0"/>
  </sheetViews>
  <sheetFormatPr defaultRowHeight="14.4" x14ac:dyDescent="0.3"/>
  <sheetData>
    <row r="1" spans="1:12" ht="34.049999999999997" customHeight="1" x14ac:dyDescent="0.3">
      <c r="A1" s="143" t="s">
        <v>134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3" spans="1:12" ht="30" customHeight="1" x14ac:dyDescent="0.3">
      <c r="A3" s="167" t="s">
        <v>362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</sheetData>
  <mergeCells count="2">
    <mergeCell ref="A1:L1"/>
    <mergeCell ref="A3:L3"/>
  </mergeCells>
  <hyperlinks>
    <hyperlink ref="A1" location="'Navigation'!A1" tooltip="Back" display="'Navigation'!A1" xr:uid="{AEDD553A-AF9A-408B-8C97-3A65EAFEA879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F425-DBA7-4E92-B565-F069F428B31B}">
  <sheetPr codeName="Sheet60"/>
  <dimension ref="A1:L15"/>
  <sheetViews>
    <sheetView workbookViewId="0">
      <selection sqref="A1:L1"/>
    </sheetView>
  </sheetViews>
  <sheetFormatPr defaultRowHeight="14.4" x14ac:dyDescent="0.3"/>
  <cols>
    <col min="1" max="1" width="25.77734375" customWidth="1"/>
    <col min="2" max="2" width="40.77734375" customWidth="1"/>
  </cols>
  <sheetData>
    <row r="1" spans="1:12" ht="34.950000000000003" customHeight="1" x14ac:dyDescent="0.3">
      <c r="A1" s="157" t="s">
        <v>1135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3" spans="1:12" ht="30" customHeight="1" x14ac:dyDescent="0.3">
      <c r="A3" s="87" t="s">
        <v>1136</v>
      </c>
      <c r="B3" s="88" t="s">
        <v>1137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102" t="s">
        <v>1138</v>
      </c>
      <c r="B4" s="103" t="s">
        <v>1139</v>
      </c>
    </row>
    <row r="5" spans="1:12" x14ac:dyDescent="0.3">
      <c r="A5" s="89" t="s">
        <v>1140</v>
      </c>
      <c r="B5" s="90">
        <v>2026</v>
      </c>
    </row>
    <row r="6" spans="1:12" x14ac:dyDescent="0.3">
      <c r="A6" s="102" t="s">
        <v>1063</v>
      </c>
      <c r="B6" s="103">
        <v>41</v>
      </c>
    </row>
    <row r="7" spans="1:12" x14ac:dyDescent="0.3">
      <c r="A7" s="89" t="s">
        <v>1141</v>
      </c>
      <c r="B7" s="91">
        <v>0.25</v>
      </c>
    </row>
    <row r="8" spans="1:12" x14ac:dyDescent="0.3">
      <c r="A8" s="102" t="s">
        <v>1142</v>
      </c>
      <c r="B8" s="104">
        <v>0.91666666666666663</v>
      </c>
    </row>
    <row r="9" spans="1:12" x14ac:dyDescent="0.3">
      <c r="A9" s="89" t="s">
        <v>1143</v>
      </c>
      <c r="B9" s="90" t="s">
        <v>1144</v>
      </c>
    </row>
    <row r="10" spans="1:12" x14ac:dyDescent="0.3">
      <c r="A10" s="102" t="s">
        <v>1145</v>
      </c>
      <c r="B10" s="103" t="s">
        <v>1146</v>
      </c>
    </row>
    <row r="11" spans="1:12" x14ac:dyDescent="0.3">
      <c r="A11" s="89" t="s">
        <v>1147</v>
      </c>
      <c r="B11" s="90" t="s">
        <v>1148</v>
      </c>
    </row>
    <row r="12" spans="1:12" x14ac:dyDescent="0.3">
      <c r="A12" s="102" t="s">
        <v>1149</v>
      </c>
      <c r="B12" s="103" t="s">
        <v>1150</v>
      </c>
    </row>
    <row r="13" spans="1:12" x14ac:dyDescent="0.3">
      <c r="A13" s="89" t="s">
        <v>1151</v>
      </c>
      <c r="B13" s="90">
        <v>73</v>
      </c>
    </row>
    <row r="14" spans="1:12" x14ac:dyDescent="0.3">
      <c r="A14" s="102" t="s">
        <v>1152</v>
      </c>
      <c r="B14" s="103">
        <v>14</v>
      </c>
    </row>
    <row r="15" spans="1:12" x14ac:dyDescent="0.3">
      <c r="A15" s="89" t="s">
        <v>1153</v>
      </c>
      <c r="B15" s="90">
        <v>15</v>
      </c>
    </row>
  </sheetData>
  <mergeCells count="1">
    <mergeCell ref="A1:L1"/>
  </mergeCells>
  <hyperlinks>
    <hyperlink ref="A1" location="'Navigation'!A1" tooltip="Back" display="'Navigation'!A1" xr:uid="{5D9BDB35-CD08-48FF-B9D3-4617B5BFDB88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DB22-5684-4545-B388-71B1422E62F2}">
  <sheetPr codeName="Sheet61"/>
  <dimension ref="A1:H41"/>
  <sheetViews>
    <sheetView workbookViewId="0">
      <pane ySplit="2" topLeftCell="A3" activePane="bottomLeft" state="frozenSplit"/>
      <selection pane="bottomLeft" sqref="A1:H1"/>
    </sheetView>
  </sheetViews>
  <sheetFormatPr defaultRowHeight="14.4" x14ac:dyDescent="0.3"/>
  <cols>
    <col min="1" max="1" width="12.77734375" customWidth="1"/>
    <col min="2" max="2" width="18.77734375" customWidth="1"/>
    <col min="3" max="3" width="22.77734375" customWidth="1"/>
    <col min="4" max="4" width="28.77734375" customWidth="1"/>
    <col min="5" max="5" width="14.77734375" customWidth="1"/>
    <col min="6" max="6" width="12.77734375" customWidth="1"/>
    <col min="7" max="7" width="18.77734375" customWidth="1"/>
    <col min="8" max="8" width="25.77734375" customWidth="1"/>
  </cols>
  <sheetData>
    <row r="1" spans="1:8" ht="36" customHeight="1" x14ac:dyDescent="0.3">
      <c r="A1" s="169" t="s">
        <v>1171</v>
      </c>
      <c r="B1" s="116"/>
      <c r="C1" s="116"/>
      <c r="D1" s="116"/>
      <c r="E1" s="116"/>
      <c r="F1" s="116"/>
      <c r="G1" s="116"/>
      <c r="H1" s="116"/>
    </row>
    <row r="2" spans="1:8" ht="25.95" customHeight="1" x14ac:dyDescent="0.3">
      <c r="A2" s="106" t="s">
        <v>1172</v>
      </c>
      <c r="B2" s="107">
        <f ca="1">TODAY()</f>
        <v>46304</v>
      </c>
      <c r="C2" s="106" t="s">
        <v>1173</v>
      </c>
      <c r="D2" s="106" t="str">
        <f ca="1">TEXT(TODAY(),"dddd")</f>
        <v>Friday</v>
      </c>
      <c r="E2" s="106" t="s">
        <v>1174</v>
      </c>
      <c r="F2" s="106" t="str">
        <f ca="1">"Week "&amp;WEEKNUM(TODAY(),2)</f>
        <v>Week 41</v>
      </c>
      <c r="G2" s="106" t="s">
        <v>1175</v>
      </c>
      <c r="H2" s="106" t="str">
        <f ca="1">TEXT(TODAY(),"mmmm yyyy")</f>
        <v>October 2026</v>
      </c>
    </row>
    <row r="4" spans="1:8" ht="30" customHeight="1" x14ac:dyDescent="0.35">
      <c r="A4" s="119" t="s">
        <v>1176</v>
      </c>
      <c r="B4" s="118"/>
      <c r="C4" s="118"/>
      <c r="D4" s="118"/>
      <c r="E4" s="118"/>
      <c r="F4" s="118"/>
      <c r="G4" s="118"/>
      <c r="H4" s="118"/>
    </row>
    <row r="5" spans="1:8" ht="25.95" customHeight="1" x14ac:dyDescent="0.3">
      <c r="A5" s="60" t="s">
        <v>661</v>
      </c>
      <c r="B5" s="60" t="s">
        <v>662</v>
      </c>
      <c r="C5" s="60" t="s">
        <v>1177</v>
      </c>
      <c r="D5" s="60" t="s">
        <v>665</v>
      </c>
      <c r="E5" s="60" t="s">
        <v>1075</v>
      </c>
      <c r="F5" s="60" t="s">
        <v>664</v>
      </c>
      <c r="G5" s="60" t="s">
        <v>667</v>
      </c>
      <c r="H5" s="60" t="s">
        <v>39</v>
      </c>
    </row>
    <row r="6" spans="1:8" ht="22.05" customHeight="1" x14ac:dyDescent="0.3">
      <c r="A6" s="16">
        <v>1</v>
      </c>
      <c r="B6" s="16" t="s">
        <v>312</v>
      </c>
      <c r="C6" s="38" t="s">
        <v>1178</v>
      </c>
      <c r="D6" s="16" t="s">
        <v>1179</v>
      </c>
      <c r="E6" s="101">
        <v>46326</v>
      </c>
      <c r="F6" s="16" t="s">
        <v>670</v>
      </c>
      <c r="G6" s="16" t="s">
        <v>1180</v>
      </c>
      <c r="H6" s="16"/>
    </row>
    <row r="7" spans="1:8" ht="22.05" customHeight="1" x14ac:dyDescent="0.3">
      <c r="A7" s="16">
        <v>2</v>
      </c>
      <c r="B7" s="16" t="s">
        <v>158</v>
      </c>
      <c r="C7" s="38" t="s">
        <v>1181</v>
      </c>
      <c r="D7" s="16" t="s">
        <v>1182</v>
      </c>
      <c r="E7" s="101">
        <v>46326</v>
      </c>
      <c r="F7" s="16" t="s">
        <v>670</v>
      </c>
      <c r="G7" s="16" t="s">
        <v>1180</v>
      </c>
      <c r="H7" s="16"/>
    </row>
    <row r="8" spans="1:8" ht="22.05" customHeight="1" x14ac:dyDescent="0.3">
      <c r="A8" s="16">
        <v>3</v>
      </c>
      <c r="B8" s="16" t="s">
        <v>160</v>
      </c>
      <c r="C8" s="38" t="s">
        <v>1183</v>
      </c>
      <c r="D8" s="16" t="s">
        <v>1184</v>
      </c>
      <c r="E8" s="101">
        <v>46326</v>
      </c>
      <c r="F8" s="16" t="s">
        <v>673</v>
      </c>
      <c r="G8" s="16" t="s">
        <v>1180</v>
      </c>
      <c r="H8" s="16"/>
    </row>
    <row r="9" spans="1:8" ht="22.05" customHeight="1" x14ac:dyDescent="0.3">
      <c r="A9" s="16">
        <v>4</v>
      </c>
      <c r="B9" s="16" t="s">
        <v>1079</v>
      </c>
      <c r="C9" s="38" t="s">
        <v>1185</v>
      </c>
      <c r="D9" s="16" t="s">
        <v>1186</v>
      </c>
      <c r="E9" s="101">
        <v>46326</v>
      </c>
      <c r="F9" s="16" t="s">
        <v>670</v>
      </c>
      <c r="G9" s="16" t="s">
        <v>1180</v>
      </c>
      <c r="H9" s="16"/>
    </row>
    <row r="10" spans="1:8" ht="22.05" customHeight="1" x14ac:dyDescent="0.3">
      <c r="A10" s="16">
        <v>5</v>
      </c>
      <c r="B10" s="16" t="s">
        <v>1085</v>
      </c>
      <c r="C10" s="38" t="s">
        <v>1187</v>
      </c>
      <c r="D10" s="16" t="s">
        <v>1188</v>
      </c>
      <c r="E10" s="101">
        <v>46326</v>
      </c>
      <c r="F10" s="16" t="s">
        <v>670</v>
      </c>
      <c r="G10" s="16" t="s">
        <v>1180</v>
      </c>
      <c r="H10" s="16"/>
    </row>
    <row r="11" spans="1:8" ht="22.05" customHeight="1" x14ac:dyDescent="0.3">
      <c r="A11" s="16">
        <v>6</v>
      </c>
      <c r="B11" s="16" t="s">
        <v>1087</v>
      </c>
      <c r="C11" s="38" t="s">
        <v>1189</v>
      </c>
      <c r="D11" s="16" t="s">
        <v>1190</v>
      </c>
      <c r="E11" s="101">
        <v>46326</v>
      </c>
      <c r="F11" s="16" t="s">
        <v>670</v>
      </c>
      <c r="G11" s="16" t="s">
        <v>1180</v>
      </c>
      <c r="H11" s="16"/>
    </row>
    <row r="12" spans="1:8" ht="22.05" customHeight="1" x14ac:dyDescent="0.3">
      <c r="A12" s="16">
        <v>7</v>
      </c>
      <c r="B12" s="16" t="s">
        <v>1191</v>
      </c>
      <c r="C12" s="38" t="s">
        <v>1192</v>
      </c>
      <c r="D12" s="16" t="s">
        <v>1193</v>
      </c>
      <c r="E12" s="101">
        <v>46326</v>
      </c>
      <c r="F12" s="16" t="s">
        <v>673</v>
      </c>
      <c r="G12" s="16" t="s">
        <v>1180</v>
      </c>
      <c r="H12" s="16"/>
    </row>
    <row r="13" spans="1:8" ht="22.05" customHeight="1" x14ac:dyDescent="0.3">
      <c r="A13">
        <v>8</v>
      </c>
      <c r="B13" s="16"/>
      <c r="C13" s="16"/>
      <c r="D13" s="16"/>
      <c r="E13" s="16"/>
      <c r="F13" s="16"/>
      <c r="G13" s="16"/>
      <c r="H13" s="16"/>
    </row>
    <row r="14" spans="1:8" ht="22.05" customHeight="1" x14ac:dyDescent="0.3">
      <c r="A14">
        <v>9</v>
      </c>
      <c r="B14" s="16"/>
      <c r="C14" s="16"/>
      <c r="D14" s="16"/>
      <c r="E14" s="16"/>
      <c r="F14" s="16"/>
      <c r="G14" s="16"/>
      <c r="H14" s="16"/>
    </row>
    <row r="15" spans="1:8" ht="22.05" customHeight="1" x14ac:dyDescent="0.3">
      <c r="A15">
        <v>10</v>
      </c>
      <c r="B15" s="16"/>
      <c r="C15" s="16"/>
      <c r="D15" s="16"/>
      <c r="E15" s="16"/>
      <c r="F15" s="16"/>
      <c r="G15" s="16"/>
      <c r="H15" s="16"/>
    </row>
    <row r="16" spans="1:8" ht="22.05" customHeight="1" x14ac:dyDescent="0.3">
      <c r="A16">
        <v>11</v>
      </c>
      <c r="B16" s="16"/>
      <c r="C16" s="16"/>
      <c r="D16" s="16"/>
      <c r="E16" s="16"/>
      <c r="F16" s="16"/>
      <c r="G16" s="16"/>
      <c r="H16" s="16"/>
    </row>
    <row r="17" spans="1:8" ht="22.05" customHeight="1" x14ac:dyDescent="0.3">
      <c r="A17">
        <v>12</v>
      </c>
      <c r="B17" s="16"/>
      <c r="C17" s="16"/>
      <c r="D17" s="16"/>
      <c r="E17" s="16"/>
      <c r="F17" s="16"/>
      <c r="G17" s="16"/>
      <c r="H17" s="16"/>
    </row>
    <row r="20" spans="1:8" ht="30" customHeight="1" x14ac:dyDescent="0.35">
      <c r="A20" s="170" t="s">
        <v>1194</v>
      </c>
      <c r="B20" s="118"/>
      <c r="C20" s="118"/>
      <c r="D20" s="118"/>
      <c r="E20" s="118"/>
      <c r="F20" s="118"/>
      <c r="G20" s="118"/>
      <c r="H20" s="118"/>
    </row>
    <row r="21" spans="1:8" ht="24" customHeight="1" x14ac:dyDescent="0.3">
      <c r="A21" s="108" t="s">
        <v>1195</v>
      </c>
      <c r="B21" s="109">
        <f ca="1">TODAY()+7-WEEKDAY(TODAY(),2)+1</f>
        <v>46307</v>
      </c>
      <c r="C21" s="108" t="s">
        <v>1196</v>
      </c>
      <c r="D21" s="109">
        <f ca="1">TODAY()+7-WEEKDAY(TODAY(),2)+7</f>
        <v>46313</v>
      </c>
      <c r="E21" s="108" t="s">
        <v>1197</v>
      </c>
      <c r="F21" s="108" t="str">
        <f ca="1">"Week "&amp;WEEKNUM(TODAY()+7,2)</f>
        <v>Week 42</v>
      </c>
      <c r="G21" s="108"/>
      <c r="H21" s="108"/>
    </row>
    <row r="22" spans="1:8" ht="25.95" customHeight="1" x14ac:dyDescent="0.3">
      <c r="A22" s="26" t="s">
        <v>1061</v>
      </c>
      <c r="B22" s="26" t="s">
        <v>1062</v>
      </c>
      <c r="C22" s="26" t="s">
        <v>1198</v>
      </c>
      <c r="D22" s="26" t="s">
        <v>1199</v>
      </c>
      <c r="E22" s="26" t="s">
        <v>1200</v>
      </c>
      <c r="F22" s="26" t="s">
        <v>664</v>
      </c>
      <c r="G22" s="26" t="s">
        <v>667</v>
      </c>
      <c r="H22" s="26" t="s">
        <v>39</v>
      </c>
    </row>
    <row r="23" spans="1:8" ht="24" customHeight="1" x14ac:dyDescent="0.3">
      <c r="A23" s="105" t="s">
        <v>479</v>
      </c>
      <c r="B23" s="110"/>
      <c r="C23" s="16"/>
      <c r="D23" s="16"/>
      <c r="E23" s="16"/>
      <c r="F23" s="16"/>
      <c r="G23" s="16"/>
      <c r="H23" s="16"/>
    </row>
    <row r="24" spans="1:8" ht="24" customHeight="1" x14ac:dyDescent="0.3">
      <c r="A24" s="105" t="s">
        <v>485</v>
      </c>
      <c r="B24" s="110"/>
      <c r="C24" s="16"/>
      <c r="D24" s="16"/>
      <c r="E24" s="16"/>
      <c r="F24" s="16"/>
      <c r="G24" s="16"/>
      <c r="H24" s="16"/>
    </row>
    <row r="25" spans="1:8" ht="24" customHeight="1" x14ac:dyDescent="0.3">
      <c r="A25" s="105" t="s">
        <v>489</v>
      </c>
      <c r="B25" s="110"/>
      <c r="C25" s="16"/>
      <c r="D25" s="16"/>
      <c r="E25" s="16"/>
      <c r="F25" s="16"/>
      <c r="G25" s="16"/>
      <c r="H25" s="16"/>
    </row>
    <row r="26" spans="1:8" ht="24" customHeight="1" x14ac:dyDescent="0.3">
      <c r="A26" s="105" t="s">
        <v>492</v>
      </c>
      <c r="B26" s="110"/>
      <c r="C26" s="16"/>
      <c r="D26" s="16"/>
      <c r="E26" s="16"/>
      <c r="F26" s="16"/>
      <c r="G26" s="16"/>
      <c r="H26" s="16"/>
    </row>
    <row r="27" spans="1:8" ht="24" customHeight="1" x14ac:dyDescent="0.3">
      <c r="A27" s="105" t="s">
        <v>496</v>
      </c>
      <c r="B27" s="110"/>
      <c r="C27" s="16"/>
      <c r="D27" s="16"/>
      <c r="E27" s="16"/>
      <c r="F27" s="16"/>
      <c r="G27" s="16"/>
      <c r="H27" s="16"/>
    </row>
    <row r="28" spans="1:8" ht="24" customHeight="1" x14ac:dyDescent="0.3">
      <c r="A28" s="105" t="s">
        <v>498</v>
      </c>
      <c r="B28" s="110"/>
      <c r="C28" s="16"/>
      <c r="D28" s="16"/>
      <c r="E28" s="16"/>
      <c r="F28" s="16"/>
      <c r="G28" s="16"/>
      <c r="H28" s="16"/>
    </row>
    <row r="29" spans="1:8" ht="24" customHeight="1" x14ac:dyDescent="0.3">
      <c r="A29" s="105" t="s">
        <v>472</v>
      </c>
      <c r="B29" s="110"/>
      <c r="C29" s="16"/>
      <c r="D29" s="16"/>
      <c r="E29" s="16"/>
      <c r="F29" s="16"/>
      <c r="G29" s="16"/>
      <c r="H29" s="16"/>
    </row>
    <row r="32" spans="1:8" ht="30" customHeight="1" x14ac:dyDescent="0.35">
      <c r="A32" s="171" t="s">
        <v>1201</v>
      </c>
      <c r="B32" s="118"/>
      <c r="C32" s="118"/>
      <c r="D32" s="118"/>
      <c r="E32" s="118"/>
      <c r="F32" s="118"/>
      <c r="G32" s="118"/>
      <c r="H32" s="118"/>
    </row>
    <row r="33" spans="1:8" ht="24" customHeight="1" x14ac:dyDescent="0.3">
      <c r="A33" s="82" t="s">
        <v>1202</v>
      </c>
      <c r="B33" s="111">
        <f ca="1">TODAY()+14-WEEKDAY(TODAY(),2)+1</f>
        <v>46314</v>
      </c>
      <c r="C33" s="82" t="s">
        <v>1196</v>
      </c>
      <c r="D33" s="111">
        <f ca="1">TODAY()+14-WEEKDAY(TODAY(),2)+7</f>
        <v>46320</v>
      </c>
      <c r="E33" s="82" t="s">
        <v>1197</v>
      </c>
      <c r="F33" s="82" t="str">
        <f ca="1">"Week "&amp;WEEKNUM(TODAY()+14,2)</f>
        <v>Week 43</v>
      </c>
      <c r="G33" s="82"/>
      <c r="H33" s="82"/>
    </row>
    <row r="34" spans="1:8" ht="25.95" customHeight="1" x14ac:dyDescent="0.3">
      <c r="A34" s="26" t="s">
        <v>1061</v>
      </c>
      <c r="B34" s="26" t="s">
        <v>1062</v>
      </c>
      <c r="C34" s="26" t="s">
        <v>1198</v>
      </c>
      <c r="D34" s="26" t="s">
        <v>1199</v>
      </c>
      <c r="E34" s="26" t="s">
        <v>1200</v>
      </c>
      <c r="F34" s="26" t="s">
        <v>664</v>
      </c>
      <c r="G34" s="26" t="s">
        <v>667</v>
      </c>
      <c r="H34" s="26" t="s">
        <v>39</v>
      </c>
    </row>
    <row r="35" spans="1:8" ht="24" customHeight="1" x14ac:dyDescent="0.3">
      <c r="A35" s="82" t="s">
        <v>479</v>
      </c>
      <c r="B35" s="110"/>
      <c r="C35" s="16"/>
      <c r="D35" s="16"/>
      <c r="E35" s="16"/>
      <c r="F35" s="16"/>
      <c r="G35" s="16"/>
      <c r="H35" s="16"/>
    </row>
    <row r="36" spans="1:8" ht="24" customHeight="1" x14ac:dyDescent="0.3">
      <c r="A36" s="82" t="s">
        <v>485</v>
      </c>
      <c r="B36" s="110"/>
      <c r="C36" s="16"/>
      <c r="D36" s="16"/>
      <c r="E36" s="16"/>
      <c r="F36" s="16"/>
      <c r="G36" s="16"/>
      <c r="H36" s="16"/>
    </row>
    <row r="37" spans="1:8" ht="24" customHeight="1" x14ac:dyDescent="0.3">
      <c r="A37" s="82" t="s">
        <v>489</v>
      </c>
      <c r="B37" s="110"/>
      <c r="C37" s="16"/>
      <c r="D37" s="16"/>
      <c r="E37" s="16"/>
      <c r="F37" s="16"/>
      <c r="G37" s="16"/>
      <c r="H37" s="16"/>
    </row>
    <row r="38" spans="1:8" ht="24" customHeight="1" x14ac:dyDescent="0.3">
      <c r="A38" s="82" t="s">
        <v>492</v>
      </c>
      <c r="B38" s="110"/>
      <c r="C38" s="16"/>
      <c r="D38" s="16"/>
      <c r="E38" s="16"/>
      <c r="F38" s="16"/>
      <c r="G38" s="16"/>
      <c r="H38" s="16"/>
    </row>
    <row r="39" spans="1:8" ht="24" customHeight="1" x14ac:dyDescent="0.3">
      <c r="A39" s="82" t="s">
        <v>496</v>
      </c>
      <c r="B39" s="110"/>
      <c r="C39" s="16"/>
      <c r="D39" s="16"/>
      <c r="E39" s="16"/>
      <c r="F39" s="16"/>
      <c r="G39" s="16"/>
      <c r="H39" s="16"/>
    </row>
    <row r="40" spans="1:8" ht="24" customHeight="1" x14ac:dyDescent="0.3">
      <c r="A40" s="82" t="s">
        <v>498</v>
      </c>
      <c r="B40" s="110"/>
      <c r="C40" s="16"/>
      <c r="D40" s="16"/>
      <c r="E40" s="16"/>
      <c r="F40" s="16"/>
      <c r="G40" s="16"/>
      <c r="H40" s="16"/>
    </row>
    <row r="41" spans="1:8" ht="24" customHeight="1" x14ac:dyDescent="0.3">
      <c r="A41" s="82" t="s">
        <v>472</v>
      </c>
      <c r="B41" s="110"/>
      <c r="C41" s="16"/>
      <c r="D41" s="16"/>
      <c r="E41" s="16"/>
      <c r="F41" s="16"/>
      <c r="G41" s="16"/>
      <c r="H41" s="16"/>
    </row>
  </sheetData>
  <mergeCells count="4">
    <mergeCell ref="A1:H1"/>
    <mergeCell ref="A4:H4"/>
    <mergeCell ref="A20:H20"/>
    <mergeCell ref="A32:H3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A77F-E8B0-4020-892B-EAB643AC4844}">
  <dimension ref="A1:F26"/>
  <sheetViews>
    <sheetView tabSelected="1" workbookViewId="0"/>
  </sheetViews>
  <sheetFormatPr defaultRowHeight="14.4" x14ac:dyDescent="0.3"/>
  <cols>
    <col min="1" max="1" width="12.77734375" customWidth="1"/>
    <col min="2" max="2" width="25.77734375" customWidth="1"/>
    <col min="3" max="3" width="8.77734375" customWidth="1"/>
    <col min="4" max="4" width="18.77734375" customWidth="1"/>
    <col min="5" max="5" width="50.77734375" customWidth="1"/>
    <col min="6" max="6" width="8.77734375" customWidth="1"/>
  </cols>
  <sheetData>
    <row r="1" spans="1:6" ht="36" customHeight="1" x14ac:dyDescent="0.45">
      <c r="A1" s="172" t="s">
        <v>1204</v>
      </c>
      <c r="B1" s="118"/>
      <c r="C1" s="118"/>
      <c r="D1" s="118"/>
      <c r="E1" s="118"/>
      <c r="F1" s="118"/>
    </row>
    <row r="2" spans="1:6" ht="28.05" customHeight="1" x14ac:dyDescent="0.3">
      <c r="A2" s="57" t="s">
        <v>142</v>
      </c>
      <c r="B2" s="57" t="s">
        <v>268</v>
      </c>
      <c r="C2" s="57" t="s">
        <v>181</v>
      </c>
      <c r="D2" s="57" t="s">
        <v>1205</v>
      </c>
      <c r="E2" s="57" t="s">
        <v>1206</v>
      </c>
      <c r="F2" s="57" t="s">
        <v>1207</v>
      </c>
    </row>
    <row r="3" spans="1:6" ht="24" customHeight="1" x14ac:dyDescent="0.35">
      <c r="A3" s="173">
        <v>0.20833333333333334</v>
      </c>
      <c r="B3" s="174" t="s">
        <v>1208</v>
      </c>
      <c r="C3" s="175" t="s">
        <v>155</v>
      </c>
      <c r="D3" s="176" t="s">
        <v>1209</v>
      </c>
      <c r="E3" s="174" t="s">
        <v>1210</v>
      </c>
      <c r="F3" s="177" t="s">
        <v>1211</v>
      </c>
    </row>
    <row r="4" spans="1:6" ht="24" customHeight="1" x14ac:dyDescent="0.35">
      <c r="A4" s="173">
        <v>0.22916666666666666</v>
      </c>
      <c r="B4" s="174" t="s">
        <v>1212</v>
      </c>
      <c r="C4" s="175" t="s">
        <v>155</v>
      </c>
      <c r="D4" s="176" t="s">
        <v>1209</v>
      </c>
      <c r="E4" s="174" t="s">
        <v>1213</v>
      </c>
      <c r="F4" s="178"/>
    </row>
    <row r="5" spans="1:6" ht="24" customHeight="1" x14ac:dyDescent="0.35">
      <c r="A5" s="173">
        <v>0.25</v>
      </c>
      <c r="B5" s="174" t="s">
        <v>1214</v>
      </c>
      <c r="C5" s="175" t="s">
        <v>155</v>
      </c>
      <c r="D5" s="176" t="s">
        <v>1209</v>
      </c>
      <c r="E5" s="174" t="s">
        <v>1215</v>
      </c>
      <c r="F5" s="178"/>
    </row>
    <row r="6" spans="1:6" ht="24" customHeight="1" x14ac:dyDescent="0.35">
      <c r="A6" s="173">
        <v>0.27083333333333331</v>
      </c>
      <c r="B6" s="174" t="s">
        <v>1216</v>
      </c>
      <c r="C6" s="175" t="s">
        <v>155</v>
      </c>
      <c r="D6" s="176" t="s">
        <v>1209</v>
      </c>
      <c r="E6" s="174" t="s">
        <v>1217</v>
      </c>
      <c r="F6" s="178"/>
    </row>
    <row r="7" spans="1:6" ht="24" customHeight="1" x14ac:dyDescent="0.35">
      <c r="A7" s="173">
        <v>0.3125</v>
      </c>
      <c r="B7" s="174" t="s">
        <v>281</v>
      </c>
      <c r="C7" s="175" t="s">
        <v>155</v>
      </c>
      <c r="D7" s="176" t="s">
        <v>1209</v>
      </c>
      <c r="E7" s="174" t="s">
        <v>1218</v>
      </c>
      <c r="F7" s="178"/>
    </row>
    <row r="8" spans="1:6" ht="24" customHeight="1" x14ac:dyDescent="0.35">
      <c r="A8" s="173">
        <v>0.33333333333333331</v>
      </c>
      <c r="B8" s="174" t="s">
        <v>1219</v>
      </c>
      <c r="C8" s="175" t="s">
        <v>155</v>
      </c>
      <c r="D8" s="176" t="s">
        <v>1209</v>
      </c>
      <c r="E8" s="174" t="s">
        <v>1220</v>
      </c>
      <c r="F8" s="177" t="s">
        <v>1211</v>
      </c>
    </row>
    <row r="9" spans="1:6" ht="24" customHeight="1" x14ac:dyDescent="0.35">
      <c r="A9" s="173">
        <v>0.41666666666666669</v>
      </c>
      <c r="B9" s="174" t="s">
        <v>1221</v>
      </c>
      <c r="C9" s="175" t="s">
        <v>155</v>
      </c>
      <c r="D9" s="176" t="s">
        <v>1209</v>
      </c>
      <c r="E9" s="174" t="s">
        <v>1222</v>
      </c>
      <c r="F9" s="178"/>
    </row>
    <row r="10" spans="1:6" ht="24" customHeight="1" x14ac:dyDescent="0.35">
      <c r="A10" s="173">
        <v>0.5</v>
      </c>
      <c r="B10" s="174" t="s">
        <v>291</v>
      </c>
      <c r="C10" s="175" t="s">
        <v>155</v>
      </c>
      <c r="D10" s="176" t="s">
        <v>1209</v>
      </c>
      <c r="E10" s="174" t="s">
        <v>1223</v>
      </c>
      <c r="F10" s="178"/>
    </row>
    <row r="11" spans="1:6" ht="24" customHeight="1" x14ac:dyDescent="0.35">
      <c r="A11" s="173">
        <v>0.54166666666666663</v>
      </c>
      <c r="B11" s="174" t="s">
        <v>1224</v>
      </c>
      <c r="C11" s="175" t="s">
        <v>155</v>
      </c>
      <c r="D11" s="176" t="s">
        <v>1209</v>
      </c>
      <c r="E11" s="174" t="s">
        <v>1225</v>
      </c>
      <c r="F11" s="178"/>
    </row>
    <row r="12" spans="1:6" ht="24" customHeight="1" x14ac:dyDescent="0.35">
      <c r="A12" s="173">
        <v>0.58333333333333337</v>
      </c>
      <c r="B12" s="174" t="s">
        <v>1226</v>
      </c>
      <c r="C12" s="175" t="s">
        <v>155</v>
      </c>
      <c r="D12" s="176" t="s">
        <v>1209</v>
      </c>
      <c r="E12" s="174" t="s">
        <v>1227</v>
      </c>
      <c r="F12" s="178"/>
    </row>
    <row r="13" spans="1:6" ht="24" customHeight="1" x14ac:dyDescent="0.35">
      <c r="A13" s="173">
        <v>0.66666666666666663</v>
      </c>
      <c r="B13" s="174" t="s">
        <v>1228</v>
      </c>
      <c r="C13" s="175" t="s">
        <v>155</v>
      </c>
      <c r="D13" s="176" t="s">
        <v>1209</v>
      </c>
      <c r="E13" s="174" t="s">
        <v>1229</v>
      </c>
      <c r="F13" s="178"/>
    </row>
    <row r="14" spans="1:6" ht="24" customHeight="1" x14ac:dyDescent="0.35">
      <c r="A14" s="173">
        <v>0.6875</v>
      </c>
      <c r="B14" s="174" t="s">
        <v>1230</v>
      </c>
      <c r="C14" s="175" t="s">
        <v>155</v>
      </c>
      <c r="D14" s="176" t="s">
        <v>1209</v>
      </c>
      <c r="E14" s="174" t="s">
        <v>1231</v>
      </c>
      <c r="F14" s="178"/>
    </row>
    <row r="15" spans="1:6" ht="24" customHeight="1" x14ac:dyDescent="0.35">
      <c r="A15" s="173">
        <v>0.75</v>
      </c>
      <c r="B15" s="174" t="s">
        <v>1232</v>
      </c>
      <c r="C15" s="175" t="s">
        <v>155</v>
      </c>
      <c r="D15" s="176" t="s">
        <v>1209</v>
      </c>
      <c r="E15" s="174" t="s">
        <v>1233</v>
      </c>
      <c r="F15" s="177" t="s">
        <v>1211</v>
      </c>
    </row>
    <row r="16" spans="1:6" ht="24" customHeight="1" x14ac:dyDescent="0.35">
      <c r="A16" s="173">
        <v>0.8125</v>
      </c>
      <c r="B16" s="174" t="s">
        <v>299</v>
      </c>
      <c r="C16" s="175" t="s">
        <v>155</v>
      </c>
      <c r="D16" s="176" t="s">
        <v>1209</v>
      </c>
      <c r="E16" s="174" t="s">
        <v>1234</v>
      </c>
      <c r="F16" s="178"/>
    </row>
    <row r="17" spans="1:6" ht="24" customHeight="1" x14ac:dyDescent="0.35">
      <c r="A17" s="173">
        <v>0.83333333333333337</v>
      </c>
      <c r="B17" s="174" t="s">
        <v>250</v>
      </c>
      <c r="C17" s="175" t="s">
        <v>155</v>
      </c>
      <c r="D17" s="176" t="s">
        <v>1209</v>
      </c>
      <c r="E17" s="174" t="s">
        <v>1235</v>
      </c>
      <c r="F17" s="178"/>
    </row>
    <row r="18" spans="1:6" ht="24" customHeight="1" x14ac:dyDescent="0.35">
      <c r="A18" s="173">
        <v>0.875</v>
      </c>
      <c r="B18" s="174" t="s">
        <v>1236</v>
      </c>
      <c r="C18" s="175" t="s">
        <v>155</v>
      </c>
      <c r="D18" s="176" t="s">
        <v>1209</v>
      </c>
      <c r="E18" s="174" t="s">
        <v>1237</v>
      </c>
      <c r="F18" s="178"/>
    </row>
    <row r="19" spans="1:6" ht="24" customHeight="1" x14ac:dyDescent="0.35">
      <c r="A19" s="173">
        <v>0.89583333333333337</v>
      </c>
      <c r="B19" s="174" t="s">
        <v>1238</v>
      </c>
      <c r="C19" s="175" t="s">
        <v>155</v>
      </c>
      <c r="D19" s="176" t="s">
        <v>1209</v>
      </c>
      <c r="E19" s="174" t="s">
        <v>1239</v>
      </c>
      <c r="F19" s="178"/>
    </row>
    <row r="20" spans="1:6" ht="24" customHeight="1" x14ac:dyDescent="0.35">
      <c r="A20" s="173">
        <v>0.91666666666666663</v>
      </c>
      <c r="B20" s="174" t="s">
        <v>1240</v>
      </c>
      <c r="C20" s="175" t="s">
        <v>155</v>
      </c>
      <c r="D20" s="176" t="s">
        <v>1209</v>
      </c>
      <c r="E20" s="174" t="s">
        <v>1241</v>
      </c>
      <c r="F20" s="178"/>
    </row>
    <row r="21" spans="1:6" ht="24" customHeight="1" x14ac:dyDescent="0.35">
      <c r="A21" s="173">
        <v>0.9375</v>
      </c>
      <c r="B21" s="174" t="s">
        <v>1242</v>
      </c>
      <c r="C21" s="175" t="s">
        <v>155</v>
      </c>
      <c r="D21" s="176" t="s">
        <v>1209</v>
      </c>
      <c r="E21" s="174" t="s">
        <v>1243</v>
      </c>
      <c r="F21" s="178"/>
    </row>
    <row r="22" spans="1:6" ht="24" customHeight="1" x14ac:dyDescent="0.35">
      <c r="A22" s="173">
        <v>0.95833333333333337</v>
      </c>
      <c r="B22" s="174" t="s">
        <v>1244</v>
      </c>
      <c r="C22" s="175" t="s">
        <v>155</v>
      </c>
      <c r="D22" s="176" t="s">
        <v>1209</v>
      </c>
      <c r="E22" s="174" t="s">
        <v>1245</v>
      </c>
      <c r="F22" s="178"/>
    </row>
    <row r="23" spans="1:6" ht="24" customHeight="1" x14ac:dyDescent="0.35">
      <c r="A23" s="173">
        <v>0.97916666666666663</v>
      </c>
      <c r="B23" s="174" t="s">
        <v>1246</v>
      </c>
      <c r="C23" s="175" t="s">
        <v>155</v>
      </c>
      <c r="D23" s="176" t="s">
        <v>1209</v>
      </c>
      <c r="E23" s="174" t="s">
        <v>1247</v>
      </c>
      <c r="F23" s="178"/>
    </row>
    <row r="24" spans="1:6" ht="24" customHeight="1" x14ac:dyDescent="0.35">
      <c r="A24" s="173">
        <v>0</v>
      </c>
      <c r="B24" s="174" t="s">
        <v>306</v>
      </c>
      <c r="C24" s="175" t="s">
        <v>155</v>
      </c>
      <c r="D24" s="176" t="s">
        <v>1209</v>
      </c>
      <c r="E24" s="174" t="s">
        <v>1248</v>
      </c>
      <c r="F24" s="178"/>
    </row>
    <row r="25" spans="1:6" ht="24" customHeight="1" x14ac:dyDescent="0.35">
      <c r="A25" s="173">
        <v>4.1666666666666664E-2</v>
      </c>
      <c r="B25" s="174" t="s">
        <v>1249</v>
      </c>
      <c r="C25" s="175" t="s">
        <v>155</v>
      </c>
      <c r="D25" s="176" t="s">
        <v>1209</v>
      </c>
      <c r="E25" s="174" t="s">
        <v>1250</v>
      </c>
      <c r="F25" s="178"/>
    </row>
    <row r="26" spans="1:6" ht="24" customHeight="1" x14ac:dyDescent="0.35">
      <c r="A26" s="173">
        <v>8.3333333333333329E-2</v>
      </c>
      <c r="B26" s="174" t="s">
        <v>1249</v>
      </c>
      <c r="C26" s="175" t="s">
        <v>155</v>
      </c>
      <c r="D26" s="176" t="s">
        <v>1209</v>
      </c>
      <c r="E26" s="174" t="s">
        <v>1251</v>
      </c>
      <c r="F26" s="17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Navigation</vt:lpstr>
      <vt:lpstr>Weekly_Dashboard</vt:lpstr>
      <vt:lpstr>Weekly_Schedule</vt:lpstr>
      <vt:lpstr>Habit_Tracker</vt:lpstr>
      <vt:lpstr>Task_Priorities</vt:lpstr>
      <vt:lpstr>Weekly_Review</vt:lpstr>
      <vt:lpstr>CLO_College</vt:lpstr>
      <vt:lpstr>Task_Mapping</vt:lpstr>
      <vt:lpstr>Progress_Tracker</vt:lpstr>
      <vt:lpstr>Time_Blocks</vt:lpstr>
      <vt:lpstr>Color_Legend</vt:lpstr>
      <vt:lpstr>Amity_College</vt:lpstr>
      <vt:lpstr>CKO_Knowledge</vt:lpstr>
      <vt:lpstr>CLO2_Language</vt:lpstr>
      <vt:lpstr>CTO_SkillDev</vt:lpstr>
      <vt:lpstr>COO_Operations</vt:lpstr>
      <vt:lpstr>CPO_Voice</vt:lpstr>
      <vt:lpstr>Weekly_Meal_Plan</vt:lpstr>
      <vt:lpstr>Grocery_List</vt:lpstr>
      <vt:lpstr>Water_Health</vt:lpstr>
      <vt:lpstr>Calorie_Tracker</vt:lpstr>
      <vt:lpstr>Meal_Prep</vt:lpstr>
      <vt:lpstr>Recipe_Collection</vt:lpstr>
      <vt:lpstr>WeightGain_MealPlan</vt:lpstr>
      <vt:lpstr>Calorie_Protein</vt:lpstr>
      <vt:lpstr>Weight_Tracker</vt:lpstr>
      <vt:lpstr>Supplements</vt:lpstr>
      <vt:lpstr>Workout_Diet</vt:lpstr>
      <vt:lpstr>CEO_Dashboard</vt:lpstr>
      <vt:lpstr>Skills_Tracker</vt:lpstr>
      <vt:lpstr>CEO_Daily_Schedule</vt:lpstr>
      <vt:lpstr>52-Week_Plan</vt:lpstr>
      <vt:lpstr>CEO_Books</vt:lpstr>
      <vt:lpstr>CEO_Journal</vt:lpstr>
      <vt:lpstr>CEO_Mindset</vt:lpstr>
      <vt:lpstr>Daily_Diary</vt:lpstr>
      <vt:lpstr>Weekly_Diary</vt:lpstr>
      <vt:lpstr>Notes</vt:lpstr>
      <vt:lpstr>Gratitude_Journal</vt:lpstr>
      <vt:lpstr>Financial_Dashboard</vt:lpstr>
      <vt:lpstr>Income_Tracker</vt:lpstr>
      <vt:lpstr>Expense_Tracker</vt:lpstr>
      <vt:lpstr>Loan_Manager</vt:lpstr>
      <vt:lpstr>Daily_Checklist</vt:lpstr>
      <vt:lpstr>Hatiya_Market</vt:lpstr>
      <vt:lpstr>Monthly_Dashboard</vt:lpstr>
      <vt:lpstr>Daily_Tracker</vt:lpstr>
      <vt:lpstr>Monthly_Goals</vt:lpstr>
      <vt:lpstr>Monthly_Habits</vt:lpstr>
      <vt:lpstr>Revision_Schedule</vt:lpstr>
      <vt:lpstr>Revision_Tracker</vt:lpstr>
      <vt:lpstr>Subject_Progress</vt:lpstr>
      <vt:lpstr>Techniques</vt:lpstr>
      <vt:lpstr>Revision_Log</vt:lpstr>
      <vt:lpstr>Year_Dashboard</vt:lpstr>
      <vt:lpstr>Yearly_Monthly_Tracker</vt:lpstr>
      <vt:lpstr>Yearly_Goals</vt:lpstr>
      <vt:lpstr>Yearly_Review</vt:lpstr>
      <vt:lpstr>Yearly_Habits</vt:lpstr>
      <vt:lpstr>Settings_All</vt:lpstr>
      <vt:lpstr>Planning_Sheet</vt:lpstr>
      <vt:lpstr>24_Hour_Plan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kumar</dc:creator>
  <cp:lastModifiedBy>yash kumar</cp:lastModifiedBy>
  <dcterms:created xsi:type="dcterms:W3CDTF">2026-10-08T18:05:42Z</dcterms:created>
  <dcterms:modified xsi:type="dcterms:W3CDTF">2026-10-08T19:58:50Z</dcterms:modified>
</cp:coreProperties>
</file>